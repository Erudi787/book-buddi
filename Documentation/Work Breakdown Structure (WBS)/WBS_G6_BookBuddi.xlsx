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3398" documentId="8_{4C58C154-A754-4EDB-BB12-1CCFF5F6F287}" xr6:coauthVersionLast="47" xr6:coauthVersionMax="47" xr10:uidLastSave="{DFBEB51B-9A63-4145-8DE6-C69BA4EC7892}"/>
  <bookViews>
    <workbookView xWindow="240" yWindow="105" windowWidth="14805" windowHeight="8010" firstSheet="2" activeTab="3" xr2:uid="{00000000-000D-0000-FFFF-FFFF00000000}"/>
  </bookViews>
  <sheets>
    <sheet name="Cover" sheetId="3" r:id="rId1"/>
    <sheet name="Revision History" sheetId="4" r:id="rId2"/>
    <sheet name="Function List" sheetId="5" r:id="rId3"/>
    <sheet name="Jumpstart Program Schedule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A6" i="5"/>
  <c r="F4" i="5"/>
  <c r="A4" i="5"/>
  <c r="B55" i="5"/>
  <c r="B56" i="5"/>
  <c r="B57" i="5"/>
  <c r="B58" i="5"/>
  <c r="B54" i="5"/>
  <c r="B53" i="5"/>
  <c r="B52" i="5"/>
  <c r="B50" i="5"/>
  <c r="B51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A31" i="5"/>
  <c r="B31" i="5"/>
  <c r="B30" i="5"/>
  <c r="B29" i="5"/>
  <c r="B28" i="5"/>
  <c r="A27" i="5"/>
  <c r="B27" i="5"/>
  <c r="B26" i="5"/>
  <c r="B25" i="5"/>
  <c r="B24" i="5"/>
  <c r="B23" i="5"/>
  <c r="B22" i="5"/>
  <c r="B21" i="5"/>
  <c r="B20" i="5"/>
  <c r="B19" i="5"/>
  <c r="B18" i="5"/>
  <c r="B17" i="5"/>
  <c r="B16" i="5"/>
  <c r="B14" i="5"/>
  <c r="B1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8" i="5"/>
  <c r="A29" i="5"/>
  <c r="A30" i="5"/>
  <c r="A32" i="5"/>
  <c r="A38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B13" i="5"/>
  <c r="B12" i="5"/>
  <c r="B11" i="5"/>
  <c r="B10" i="5"/>
  <c r="B9" i="5"/>
  <c r="B8" i="5"/>
  <c r="B7" i="5"/>
  <c r="B6" i="5"/>
  <c r="B4" i="5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F52" i="5" s="1"/>
  <c r="J173" i="1"/>
  <c r="F53" i="5" s="1"/>
  <c r="J174" i="1"/>
  <c r="F54" i="5" s="1"/>
  <c r="J175" i="1"/>
  <c r="F55" i="5" s="1"/>
  <c r="J176" i="1"/>
  <c r="F56" i="5" s="1"/>
  <c r="J177" i="1"/>
  <c r="F57" i="5" s="1"/>
  <c r="J178" i="1"/>
  <c r="F58" i="5" s="1"/>
  <c r="E70" i="5"/>
  <c r="E7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tc={83D04E21-C2BB-4CD3-8100-2718825D2DBC}</author>
    <author>tc={5DB799F3-1884-4909-B20A-B44C4B31022C}</author>
    <author>tc={18FDFBD9-F267-43E2-971C-46BD113AFBAC}</author>
  </authors>
  <commentList>
    <comment ref="M5" authorId="0" shapeId="0" xr:uid="{83D04E21-C2BB-4CD3-8100-2718825D2DB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Actual Start and Actual End  columns</t>
      </text>
    </comment>
    <comment ref="A11" authorId="1" shapeId="0" xr:uid="{5DB799F3-1884-4909-B20A-B44C4B31022C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sheets are missing? 
Cover Page
Revision History
Function List
Reply:
    Resolved</t>
      </text>
    </comment>
    <comment ref="C11" authorId="2" shapeId="0" xr:uid="{18FDFBD9-F267-43E2-971C-46BD113AFBA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 assignment of Tasks
Reply:
    Resolved</t>
      </text>
    </comment>
  </commentList>
</comments>
</file>

<file path=xl/sharedStrings.xml><?xml version="1.0" encoding="utf-8"?>
<sst xmlns="http://schemas.openxmlformats.org/spreadsheetml/2006/main" count="786" uniqueCount="230">
  <si>
    <t>Group 6 - BookBuddi</t>
  </si>
  <si>
    <t>BookBuddi</t>
  </si>
  <si>
    <t>WBS Estimate</t>
  </si>
  <si>
    <t xml:space="preserve">  Revision No. : </t>
  </si>
  <si>
    <t xml:space="preserve">Modified By – Date : </t>
  </si>
  <si>
    <t>Denampo, Elwison - 2025/11/17</t>
  </si>
  <si>
    <t xml:space="preserve">Preliminary Review and Approval – Date : </t>
  </si>
  <si>
    <t>Last Name, First Name - yyyy/mm/dd</t>
  </si>
  <si>
    <t xml:space="preserve">Final Review and Approval – Date : </t>
  </si>
  <si>
    <t>REVISION HISTORY</t>
  </si>
  <si>
    <t>REV NO</t>
  </si>
  <si>
    <t>MODIFIED BY</t>
  </si>
  <si>
    <t>MODIFIED 
DATE</t>
  </si>
  <si>
    <t>REMARKS</t>
  </si>
  <si>
    <t>PRELIMINARY REVIEW
AND APPROVAL</t>
  </si>
  <si>
    <t>DATE REVIEWED</t>
  </si>
  <si>
    <t>FINAL REVIEW 
AND APPROVAL</t>
  </si>
  <si>
    <t>DATE 
APPROVED</t>
  </si>
  <si>
    <t>Denampo, Elwison</t>
  </si>
  <si>
    <t>Initial Creation</t>
  </si>
  <si>
    <t>Last Name, First Name</t>
  </si>
  <si>
    <t>yyyy/mm/dd</t>
  </si>
  <si>
    <t>Addition of Cover, Revision History, Function List</t>
  </si>
  <si>
    <t>Revision of Jumpstart Progam Schedule</t>
  </si>
  <si>
    <t>Rivera, Marc Gerard</t>
  </si>
  <si>
    <t>Revision of Function List (Added entries)</t>
  </si>
  <si>
    <t>Revision of Jumpstart Progam Schedule, and Function List</t>
  </si>
  <si>
    <t>WBS Reference</t>
  </si>
  <si>
    <t>MODULE</t>
  </si>
  <si>
    <t>FUNCTION / DESCRIPTION / ASSUMPTIONS</t>
  </si>
  <si>
    <t>Type</t>
  </si>
  <si>
    <t>Estimate 
(MD)</t>
  </si>
  <si>
    <t>Remarks</t>
  </si>
  <si>
    <t>The main entry point of the system that introduces users to the library catalogue and provides access to login, registration, and book search functions.</t>
  </si>
  <si>
    <t>Web</t>
  </si>
  <si>
    <t>Allows users to securely log into their accounts using their registered credentials with authentication via email</t>
  </si>
  <si>
    <t xml:space="preserve">Allows users to securely register their credentials to have stored in the database with additional authentication via email. </t>
  </si>
  <si>
    <t>Allows users to recover their accounts and reset/change their passwords via their registered email</t>
  </si>
  <si>
    <t>Displays a paginated list or grid of all available books in the public catalog.</t>
  </si>
  <si>
    <t>Displays the full, detailed page for a single book when selected from the list.</t>
  </si>
  <si>
    <t>Implements the backend logic to filter the book list based on user queries (title, author, genre).</t>
  </si>
  <si>
    <t>Displays the list of books currently borrowed by the logged-in user, including due dates.</t>
  </si>
  <si>
    <t>Implements the function for a user to check out an available book and adds a new record to their borrowing history.</t>
  </si>
  <si>
    <t>Implements the function for a user to return a borrowed book, updating its status to "available".</t>
  </si>
  <si>
    <t>Displays a read-only list of all past books the user has borrowed and returned.</t>
  </si>
  <si>
    <t>Provides a form for users to request a new book title that is not in the catalog.</t>
  </si>
  <si>
    <t>The "bell" icon or list showing recent, unread notifications.</t>
  </si>
  <si>
    <t>A dedicated page showing all of the user's past and present notifications.</t>
  </si>
  <si>
    <t>Allows specific admin accounts to securely log in using their registered (or provided) credentials</t>
  </si>
  <si>
    <t>The admin's main homepage showing key statistics and summaries.</t>
  </si>
  <si>
    <t>Allows the admin to manage users/members registered in the catalogue.</t>
  </si>
  <si>
    <t>Displays a paginated and searchable list of all registered users in the system.</t>
  </si>
  <si>
    <t>Provides an admin form to manually create a new user account.</t>
  </si>
  <si>
    <t>Provides an admin form to modify an existing user's details (e.g., reset password, change role).</t>
  </si>
  <si>
    <t>Implements the function for an admin to deactivate or permanently remove a user account.</t>
  </si>
  <si>
    <t>Displays a read-only page showing the full profile and borrowing history of a single user.</t>
  </si>
  <si>
    <t>Allows the admin to manage books in the catalogue.</t>
  </si>
  <si>
    <t>Displays a paginated and searchable list of all books in the database (both available and borrowed).</t>
  </si>
  <si>
    <t>Provides an admin form to add a new book to the catalog, including its title, author, and cover image.</t>
  </si>
  <si>
    <t>Provides an admin form to modify an existing book's details (e.g., update description, change ISBN).</t>
  </si>
  <si>
    <t>Implements the function for an admin to permanently remove a book from the catalog.</t>
  </si>
  <si>
    <t>Displays a read-only page showing the full details and borrowing history for a single book.</t>
  </si>
  <si>
    <t>Allows the admin to manage book genres/categories (e.g., 'Fiction', 'Sci-Fi') in the catalogue.</t>
  </si>
  <si>
    <t>Displays a list of all book categories/genres.</t>
  </si>
  <si>
    <t>Provides a form or input to create a new book category.</t>
  </si>
  <si>
    <t>Implements the function to rename an existing category.</t>
  </si>
  <si>
    <t>Implements the function to remove an existing category.</t>
  </si>
  <si>
    <t>Generate and view data summaries for the application.</t>
  </si>
  <si>
    <t>Generates a report on book borrowing trends (e.g., most popular books, peak times).</t>
  </si>
  <si>
    <t>Generates a report summarizing all books, including total copies, available, and checked out.</t>
  </si>
  <si>
    <t>Generates a report on user activity (e.g., new signups, active vs. inactive users).</t>
  </si>
  <si>
    <t>Displays a queue of all user-submitted book requests, with options to approve or reject them.</t>
  </si>
  <si>
    <t>Generates a report to track books that have been marked as "Lost" or are severely overdue.</t>
  </si>
  <si>
    <t>A settings page to input the email server (SMTP) credentials for sending emails.</t>
  </si>
  <si>
    <t>Create the automated job (cron job) that runs daily to find and send overdue book reminders.</t>
  </si>
  <si>
    <t>Check that the application looks and functions correctly on different screen sizes (desktop, tablet, mobile).</t>
  </si>
  <si>
    <t>Attempt to log in, register, reset password, and log out with valid and invalid data.</t>
  </si>
  <si>
    <t>Verify that searching, filtering, and viewing books works perfectly.</t>
  </si>
  <si>
    <t>Go through the full user story of borrowing a book, seeing it on the dashboard, and returning it.</t>
  </si>
  <si>
    <t>Verify that all admin CRUD functions work and that security is enforced (a normal user cannot access the admin panel).</t>
  </si>
  <si>
    <t>Overall</t>
  </si>
  <si>
    <t>MD</t>
  </si>
  <si>
    <t>MM</t>
  </si>
  <si>
    <t>Osorio, Raphael</t>
  </si>
  <si>
    <t>Siloy, Jaspher Lawrence</t>
  </si>
  <si>
    <t>Vega, Flexter</t>
  </si>
  <si>
    <t>WBS</t>
  </si>
  <si>
    <t>Task</t>
  </si>
  <si>
    <t>Baseline Start</t>
  </si>
  <si>
    <t>Baseline End</t>
  </si>
  <si>
    <t>Days</t>
  </si>
  <si>
    <t>Predecessors</t>
  </si>
  <si>
    <t>Actual Days Data</t>
  </si>
  <si>
    <t>Actual Start</t>
  </si>
  <si>
    <t>Actual End</t>
  </si>
  <si>
    <t>x</t>
  </si>
  <si>
    <t>PROJECT MANAGEMENT</t>
  </si>
  <si>
    <t>-</t>
  </si>
  <si>
    <t>Creation of Project Plan</t>
  </si>
  <si>
    <t>Creation of WBS</t>
  </si>
  <si>
    <t>Creation of HLD</t>
  </si>
  <si>
    <t>PROJECT STRUCTURE</t>
  </si>
  <si>
    <t>Figma Wireframe</t>
  </si>
  <si>
    <t>Color Palette Selection and Logo</t>
  </si>
  <si>
    <t>Finding References</t>
  </si>
  <si>
    <t>ERD Creation</t>
  </si>
  <si>
    <t>Initialization of Database</t>
  </si>
  <si>
    <t>Project Hierarchy</t>
  </si>
  <si>
    <t>DEVELOPMENT</t>
  </si>
  <si>
    <t>LANDING PAGE</t>
  </si>
  <si>
    <t xml:space="preserve">  Creating of Landing Page (Frontend)</t>
  </si>
  <si>
    <t>AUTHENTICATION</t>
  </si>
  <si>
    <t xml:space="preserve">  LOGIN PAGE</t>
  </si>
  <si>
    <t xml:space="preserve">   Design and Implement Frontend</t>
  </si>
  <si>
    <t xml:space="preserve">   Configure Authentication from Backend</t>
  </si>
  <si>
    <t xml:space="preserve">   Validate and Connect Frontend with Backend</t>
  </si>
  <si>
    <t xml:space="preserve">  REGISTER/SIGNUP</t>
  </si>
  <si>
    <t xml:space="preserve">   Insert on new data on the database</t>
  </si>
  <si>
    <t xml:space="preserve">  FORGOT PASSWORD</t>
  </si>
  <si>
    <t xml:space="preserve">   Validate token and Input for New Password</t>
  </si>
  <si>
    <t xml:space="preserve">      Update User Password</t>
  </si>
  <si>
    <t>BOOK CATALOGUE</t>
  </si>
  <si>
    <t xml:space="preserve">    LIST</t>
  </si>
  <si>
    <t xml:space="preserve">      Design and Implement Frontend</t>
  </si>
  <si>
    <t xml:space="preserve">      Fetch and display all books from database</t>
  </si>
  <si>
    <t xml:space="preserve">      Implement Search Bar with Filters</t>
  </si>
  <si>
    <t xml:space="preserve">      Implement Pagination</t>
  </si>
  <si>
    <t xml:space="preserve">    VIEW</t>
  </si>
  <si>
    <t xml:space="preserve">      Fetch and display full book details</t>
  </si>
  <si>
    <t xml:space="preserve">      Show Availability Status</t>
  </si>
  <si>
    <t xml:space="preserve">      Display Related Books</t>
  </si>
  <si>
    <t xml:space="preserve">    SEARCH</t>
  </si>
  <si>
    <t xml:space="preserve">      Design and Implement Search Bar</t>
  </si>
  <si>
    <t xml:space="preserve">      Implement search and filtering from backend</t>
  </si>
  <si>
    <t xml:space="preserve">      "Filter by Title, Author, Genre, ISBN"</t>
  </si>
  <si>
    <t>BORROWING SYSTEM</t>
  </si>
  <si>
    <t xml:space="preserve">      Fetch and display borrowed books</t>
  </si>
  <si>
    <t xml:space="preserve">      Display due dates and status</t>
  </si>
  <si>
    <t xml:space="preserve">    ADD (Borrow Book)</t>
  </si>
  <si>
    <t xml:space="preserve">      Configure Borrowing Logic from Backend</t>
  </si>
  <si>
    <t xml:space="preserve">      Validate Book Availability</t>
  </si>
  <si>
    <t xml:space="preserve">      Insert Borrowing Record in Database</t>
  </si>
  <si>
    <t xml:space="preserve"> </t>
  </si>
  <si>
    <t xml:space="preserve">      Send Confirmation Notification</t>
  </si>
  <si>
    <t xml:space="preserve">    EDIT (Return Book)</t>
  </si>
  <si>
    <t xml:space="preserve">      Configure Return Logic from Backend</t>
  </si>
  <si>
    <t>S</t>
  </si>
  <si>
    <t xml:space="preserve">      Update Book Availability Status</t>
  </si>
  <si>
    <t xml:space="preserve">      Calculate Late Fees if applicable</t>
  </si>
  <si>
    <t xml:space="preserve">      Update Borrowing Record</t>
  </si>
  <si>
    <t xml:space="preserve">    VIEW (History)</t>
  </si>
  <si>
    <t xml:space="preserve">      Fetch User's Borrowing Records</t>
  </si>
  <si>
    <t xml:space="preserve">      Display Current and Past Borrowings</t>
  </si>
  <si>
    <t xml:space="preserve">    REQUEST</t>
  </si>
  <si>
    <t xml:space="preserve">      Configure Request Logic from Backend</t>
  </si>
  <si>
    <t xml:space="preserve">      Insert Book Request in Database</t>
  </si>
  <si>
    <t xml:space="preserve">      Notify Admin of New Request</t>
  </si>
  <si>
    <t>NOTIFICATIONS (User-Facing)</t>
  </si>
  <si>
    <t xml:space="preserve">    Notification Dropdown</t>
  </si>
  <si>
    <t xml:space="preserve">      Fetch Real-time Notifications</t>
  </si>
  <si>
    <t xml:space="preserve">      Mark as Read Functionality</t>
  </si>
  <si>
    <t xml:space="preserve">    Notification Page</t>
  </si>
  <si>
    <t xml:space="preserve">      Display All Notifications</t>
  </si>
  <si>
    <t>ADMIN PANEL</t>
  </si>
  <si>
    <t>LOGIN</t>
  </si>
  <si>
    <t xml:space="preserve">  Design and Implement Admin Login</t>
  </si>
  <si>
    <t xml:space="preserve">     Configure Admin Authentication</t>
  </si>
  <si>
    <t xml:space="preserve">     Implement Role-Based Access Control</t>
  </si>
  <si>
    <t>DASHBOARD</t>
  </si>
  <si>
    <t xml:space="preserve">  Design and Implement Dashboard</t>
  </si>
  <si>
    <t xml:space="preserve">     Display statistics and analytics</t>
  </si>
  <si>
    <t xml:space="preserve">     Show recent activities</t>
  </si>
  <si>
    <t xml:space="preserve">   USER MANAGEMENT</t>
  </si>
  <si>
    <t xml:space="preserve">      Fetch all users from database</t>
  </si>
  <si>
    <t xml:space="preserve">      Display user information and status</t>
  </si>
  <si>
    <t xml:space="preserve">    ADD</t>
  </si>
  <si>
    <t xml:space="preserve">      Validate user information</t>
  </si>
  <si>
    <t xml:space="preserve">      Insert new user in database</t>
  </si>
  <si>
    <t xml:space="preserve">    EDIT</t>
  </si>
  <si>
    <t xml:space="preserve">      Fetch user data</t>
  </si>
  <si>
    <t xml:space="preserve">      Update user information in database</t>
  </si>
  <si>
    <t xml:space="preserve">    DELETE</t>
  </si>
  <si>
    <t xml:space="preserve">      Implement confirmation dialog</t>
  </si>
  <si>
    <t xml:space="preserve">      Delete or deactivate user</t>
  </si>
  <si>
    <t xml:space="preserve">      Display full user details</t>
  </si>
  <si>
    <t xml:space="preserve">      Show borrowing history</t>
  </si>
  <si>
    <t xml:space="preserve">   BOOK MANAGEMENT</t>
  </si>
  <si>
    <t xml:space="preserve">      Fetch and Display all Books</t>
  </si>
  <si>
    <t xml:space="preserve">      Implement Search and Filter</t>
  </si>
  <si>
    <t xml:space="preserve">      Validate Book Information</t>
  </si>
  <si>
    <t xml:space="preserve">      Insert New Book in Database</t>
  </si>
  <si>
    <t xml:space="preserve">      Upload Book Cover Image</t>
  </si>
  <si>
    <t xml:space="preserve">      Fetch Existing Book Data</t>
  </si>
  <si>
    <t xml:space="preserve">      Update Book Information in Database</t>
  </si>
  <si>
    <t xml:space="preserve">      Delete Book from Database</t>
  </si>
  <si>
    <t xml:space="preserve">      Fetch and display book details</t>
  </si>
  <si>
    <t xml:space="preserve">      Show borrowing history for book</t>
  </si>
  <si>
    <t xml:space="preserve">   CATEGORY MANAGEMENT</t>
  </si>
  <si>
    <t xml:space="preserve">      Fetch and display all categories</t>
  </si>
  <si>
    <t xml:space="preserve">      Validate category information</t>
  </si>
  <si>
    <t xml:space="preserve">      Insert category in database</t>
  </si>
  <si>
    <t xml:space="preserve">      Update category in database</t>
  </si>
  <si>
    <t xml:space="preserve">      Delete category from database</t>
  </si>
  <si>
    <t xml:space="preserve">   REPORTING</t>
  </si>
  <si>
    <t xml:space="preserve">    Borrowing Report</t>
  </si>
  <si>
    <t xml:space="preserve">      Fetch Borrowing Statistics</t>
  </si>
  <si>
    <t xml:space="preserve">      Generate Charts and Graphs</t>
  </si>
  <si>
    <t xml:space="preserve">      Export Report to PDF</t>
  </si>
  <si>
    <t xml:space="preserve">    Inventory Report</t>
  </si>
  <si>
    <t xml:space="preserve">      Fetch Book Inventory Data</t>
  </si>
  <si>
    <t xml:space="preserve">      Display Available vs Borrowed Books</t>
  </si>
  <si>
    <t xml:space="preserve">    Member Report</t>
  </si>
  <si>
    <t xml:space="preserve">      Fetch Member Statistics</t>
  </si>
  <si>
    <t xml:space="preserve">      Display Active vs Inactive Members</t>
  </si>
  <si>
    <t xml:space="preserve">    Request Report</t>
  </si>
  <si>
    <t xml:space="preserve">      Fetch Book Request Data</t>
  </si>
  <si>
    <t xml:space="preserve">      Display Pending and Fulfilled Requests</t>
  </si>
  <si>
    <t xml:space="preserve">    Lost Book Report</t>
  </si>
  <si>
    <t xml:space="preserve">      Fetch Lost Book Records</t>
  </si>
  <si>
    <t xml:space="preserve">      Calculate Financial Impact</t>
  </si>
  <si>
    <t>NOTIFICATIONS (Admin Config)</t>
  </si>
  <si>
    <t xml:space="preserve">  Configure Email Notifications</t>
  </si>
  <si>
    <t xml:space="preserve">     Implement Due Date Reminders</t>
  </si>
  <si>
    <t>QUALITY ASSURANCE</t>
  </si>
  <si>
    <t>Manual Testing</t>
  </si>
  <si>
    <t xml:space="preserve">  Testing UI Responsiveness</t>
  </si>
  <si>
    <t xml:space="preserve">     Testing Authentication Flow</t>
  </si>
  <si>
    <t xml:space="preserve">     Testing Book Catalog</t>
  </si>
  <si>
    <t xml:space="preserve">     Testing Borrowing System</t>
  </si>
  <si>
    <t xml:space="preserve">     Testing Admin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</si>
</sst>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Aptos Narrow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b/>
      <i/>
      <sz val="10"/>
      <name val="Calibri"/>
    </font>
    <font>
      <i/>
      <sz val="10"/>
      <name val="Calibri"/>
    </font>
    <font>
      <sz val="10"/>
      <color theme="1"/>
      <name val="Calibri"/>
      <scheme val="minor"/>
    </font>
    <font>
      <sz val="10"/>
      <color rgb="FF000000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0"/>
      <name val="Calibri"/>
    </font>
    <font>
      <sz val="11"/>
      <name val="Calibri"/>
    </font>
    <font>
      <b/>
      <sz val="10"/>
      <name val="Calibri"/>
    </font>
    <font>
      <b/>
      <sz val="10"/>
      <color rgb="FF000000"/>
      <name val="Calibri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color indexed="8"/>
      <name val="Calibri"/>
      <family val="2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7"/>
      <name val="Calibri"/>
      <family val="2"/>
      <scheme val="minor"/>
    </font>
    <font>
      <sz val="8"/>
      <name val="ＭＳ Ｐゴシック"/>
      <family val="2"/>
    </font>
    <font>
      <sz val="8"/>
      <name val="Arial"/>
      <family val="2"/>
    </font>
    <font>
      <sz val="10"/>
      <name val="ＭＳ Ｐゴシック"/>
      <family val="2"/>
    </font>
    <font>
      <b/>
      <sz val="24"/>
      <name val="Arial"/>
      <family val="2"/>
    </font>
    <font>
      <b/>
      <sz val="24"/>
      <color indexed="9"/>
      <name val="Arial"/>
      <family val="2"/>
    </font>
    <font>
      <sz val="11"/>
      <name val="ＭＳ Ｐゴシック"/>
      <family val="3"/>
    </font>
    <font>
      <sz val="10"/>
      <name val="Tahoma"/>
      <family val="2"/>
    </font>
    <font>
      <b/>
      <sz val="10"/>
      <color indexed="9"/>
      <name val="Tahoma"/>
      <family val="2"/>
    </font>
    <font>
      <b/>
      <sz val="10"/>
      <color theme="0"/>
      <name val="Tahoma"/>
      <family val="2"/>
    </font>
    <font>
      <b/>
      <sz val="24"/>
      <color theme="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b/>
      <sz val="10"/>
      <color theme="1"/>
      <name val="Calibri"/>
      <family val="2"/>
      <scheme val="minor"/>
    </font>
    <font>
      <sz val="12"/>
      <name val="ＭＳ Ｐゴシック"/>
      <family val="3"/>
      <charset val="128"/>
    </font>
    <font>
      <b/>
      <sz val="10"/>
      <color theme="0"/>
      <name val="Calibri"/>
      <family val="2"/>
      <scheme val="minor"/>
    </font>
    <font>
      <sz val="11"/>
      <name val="ＭＳ Ｐゴシック"/>
      <family val="3"/>
      <charset val="128"/>
    </font>
    <font>
      <b/>
      <i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name val="Calibri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Aptos Narrow"/>
      <family val="2"/>
      <scheme val="minor"/>
    </font>
    <font>
      <sz val="11"/>
      <color rgb="FF030712"/>
      <name val="Aptos Display"/>
      <scheme val="major"/>
    </font>
    <font>
      <b/>
      <sz val="11"/>
      <color rgb="FF030712"/>
      <name val="Aptos Display"/>
      <scheme val="major"/>
    </font>
    <font>
      <sz val="10"/>
      <color indexed="8"/>
      <name val="Tahoma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2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63"/>
        <bgColor indexed="59"/>
      </patternFill>
    </fill>
    <fill>
      <patternFill patternType="solid">
        <fgColor rgb="FF333333"/>
        <bgColor indexed="64"/>
      </patternFill>
    </fill>
    <fill>
      <patternFill patternType="solid">
        <fgColor theme="5" tint="0.39997558519241921"/>
        <bgColor indexed="31"/>
      </patternFill>
    </fill>
    <fill>
      <patternFill patternType="solid">
        <fgColor indexed="9"/>
        <bgColor indexed="41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rgb="FF8C0B0B"/>
        <bgColor indexed="64"/>
      </patternFill>
    </fill>
  </fills>
  <borders count="5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auto="1"/>
      </left>
      <right style="double">
        <color indexed="8"/>
      </right>
      <top style="double">
        <color auto="1"/>
      </top>
      <bottom/>
      <diagonal/>
    </border>
    <border>
      <left style="double">
        <color indexed="8"/>
      </left>
      <right style="double">
        <color indexed="8"/>
      </right>
      <top style="double">
        <color auto="1"/>
      </top>
      <bottom/>
      <diagonal/>
    </border>
    <border>
      <left style="double">
        <color indexed="8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auto="1"/>
      </right>
      <top style="double">
        <color indexed="8"/>
      </top>
      <bottom/>
      <diagonal/>
    </border>
    <border>
      <left style="double">
        <color auto="1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auto="1"/>
      </right>
      <top/>
      <bottom/>
      <diagonal/>
    </border>
    <border>
      <left style="double">
        <color auto="1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auto="1"/>
      </right>
      <top/>
      <bottom style="double">
        <color indexed="8"/>
      </bottom>
      <diagonal/>
    </border>
    <border>
      <left style="double">
        <color auto="1"/>
      </left>
      <right style="double">
        <color indexed="8"/>
      </right>
      <top/>
      <bottom style="double">
        <color auto="1"/>
      </bottom>
      <diagonal/>
    </border>
    <border>
      <left style="double">
        <color indexed="8"/>
      </left>
      <right style="double">
        <color indexed="8"/>
      </right>
      <top/>
      <bottom style="double">
        <color auto="1"/>
      </bottom>
      <diagonal/>
    </border>
    <border>
      <left style="double">
        <color indexed="8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rgb="FF8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6" fillId="0" borderId="0"/>
    <xf numFmtId="0" fontId="18" fillId="0" borderId="0" applyFill="0" applyProtection="0"/>
    <xf numFmtId="0" fontId="24" fillId="0" borderId="0"/>
    <xf numFmtId="0" fontId="27" fillId="0" borderId="0"/>
    <xf numFmtId="0" fontId="1" fillId="0" borderId="0"/>
    <xf numFmtId="0" fontId="35" fillId="0" borderId="0"/>
    <xf numFmtId="0" fontId="37" fillId="0" borderId="0">
      <alignment vertical="center"/>
    </xf>
  </cellStyleXfs>
  <cellXfs count="255">
    <xf numFmtId="0" fontId="0" fillId="0" borderId="0" xfId="0"/>
    <xf numFmtId="2" fontId="3" fillId="0" borderId="0" xfId="1" applyNumberFormat="1" applyFont="1" applyAlignment="1">
      <alignment horizontal="center"/>
    </xf>
    <xf numFmtId="0" fontId="3" fillId="0" borderId="0" xfId="1" applyFont="1"/>
    <xf numFmtId="0" fontId="3" fillId="0" borderId="0" xfId="1" applyFont="1" applyAlignment="1">
      <alignment horizontal="center"/>
    </xf>
    <xf numFmtId="14" fontId="4" fillId="0" borderId="0" xfId="1" applyNumberFormat="1" applyFont="1" applyAlignment="1">
      <alignment horizontal="center"/>
    </xf>
    <xf numFmtId="9" fontId="2" fillId="2" borderId="1" xfId="1" applyNumberFormat="1" applyFont="1" applyFill="1" applyBorder="1"/>
    <xf numFmtId="14" fontId="3" fillId="0" borderId="0" xfId="1" applyNumberFormat="1" applyFont="1" applyAlignment="1">
      <alignment horizontal="center" vertical="center" indent="2"/>
    </xf>
    <xf numFmtId="14" fontId="4" fillId="0" borderId="0" xfId="1" applyNumberFormat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 indent="2"/>
    </xf>
    <xf numFmtId="2" fontId="7" fillId="0" borderId="0" xfId="1" applyNumberFormat="1" applyFont="1" applyAlignment="1">
      <alignment horizontal="center"/>
    </xf>
    <xf numFmtId="0" fontId="7" fillId="0" borderId="0" xfId="1" applyFont="1"/>
    <xf numFmtId="14" fontId="8" fillId="0" borderId="0" xfId="1" applyNumberFormat="1" applyFont="1" applyAlignment="1">
      <alignment horizontal="center"/>
    </xf>
    <xf numFmtId="9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 vertical="center"/>
    </xf>
    <xf numFmtId="9" fontId="2" fillId="3" borderId="1" xfId="1" applyNumberFormat="1" applyFont="1" applyFill="1" applyBorder="1"/>
    <xf numFmtId="9" fontId="3" fillId="3" borderId="0" xfId="1" applyNumberFormat="1" applyFont="1" applyFill="1" applyAlignment="1">
      <alignment horizontal="center" vertical="center"/>
    </xf>
    <xf numFmtId="9" fontId="2" fillId="4" borderId="1" xfId="1" applyNumberFormat="1" applyFont="1" applyFill="1" applyBorder="1"/>
    <xf numFmtId="9" fontId="3" fillId="4" borderId="0" xfId="1" applyNumberFormat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9" fontId="2" fillId="5" borderId="1" xfId="1" applyNumberFormat="1" applyFont="1" applyFill="1" applyBorder="1"/>
    <xf numFmtId="9" fontId="3" fillId="5" borderId="0" xfId="1" applyNumberFormat="1" applyFont="1" applyFill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9" fontId="2" fillId="6" borderId="1" xfId="1" applyNumberFormat="1" applyFont="1" applyFill="1" applyBorder="1"/>
    <xf numFmtId="9" fontId="3" fillId="6" borderId="0" xfId="1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0" borderId="0" xfId="2" applyFont="1" applyAlignment="1">
      <alignment horizontal="left" vertical="center" wrapText="1" indent="1"/>
    </xf>
    <xf numFmtId="0" fontId="13" fillId="0" borderId="0" xfId="2" applyFont="1" applyAlignment="1">
      <alignment horizontal="left" vertical="center" wrapText="1" indent="1"/>
    </xf>
    <xf numFmtId="2" fontId="10" fillId="0" borderId="1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/>
    </xf>
    <xf numFmtId="14" fontId="8" fillId="0" borderId="2" xfId="1" applyNumberFormat="1" applyFont="1" applyBorder="1" applyAlignment="1">
      <alignment horizontal="center"/>
    </xf>
    <xf numFmtId="14" fontId="8" fillId="0" borderId="3" xfId="1" applyNumberFormat="1" applyFont="1" applyBorder="1" applyAlignment="1">
      <alignment horizontal="center"/>
    </xf>
    <xf numFmtId="2" fontId="10" fillId="7" borderId="1" xfId="1" applyNumberFormat="1" applyFont="1" applyFill="1" applyBorder="1" applyAlignment="1">
      <alignment horizontal="center"/>
    </xf>
    <xf numFmtId="0" fontId="5" fillId="7" borderId="2" xfId="2" applyFont="1" applyFill="1" applyBorder="1" applyAlignment="1">
      <alignment horizontal="left" vertical="center" indent="1"/>
    </xf>
    <xf numFmtId="14" fontId="4" fillId="7" borderId="2" xfId="1" applyNumberFormat="1" applyFont="1" applyFill="1" applyBorder="1" applyAlignment="1">
      <alignment horizontal="center"/>
    </xf>
    <xf numFmtId="2" fontId="7" fillId="7" borderId="2" xfId="0" applyNumberFormat="1" applyFont="1" applyFill="1" applyBorder="1" applyAlignment="1">
      <alignment horizontal="center" vertical="center"/>
    </xf>
    <xf numFmtId="2" fontId="3" fillId="7" borderId="2" xfId="1" applyNumberFormat="1" applyFont="1" applyFill="1" applyBorder="1" applyAlignment="1">
      <alignment horizontal="center" vertical="center"/>
    </xf>
    <xf numFmtId="2" fontId="3" fillId="7" borderId="2" xfId="1" applyNumberFormat="1" applyFont="1" applyFill="1" applyBorder="1" applyAlignment="1">
      <alignment horizontal="center"/>
    </xf>
    <xf numFmtId="14" fontId="8" fillId="7" borderId="2" xfId="1" applyNumberFormat="1" applyFont="1" applyFill="1" applyBorder="1" applyAlignment="1">
      <alignment horizontal="center"/>
    </xf>
    <xf numFmtId="14" fontId="8" fillId="7" borderId="3" xfId="1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left" vertical="center" wrapText="1" indent="2"/>
    </xf>
    <xf numFmtId="14" fontId="4" fillId="7" borderId="2" xfId="1" applyNumberFormat="1" applyFont="1" applyFill="1" applyBorder="1" applyAlignment="1">
      <alignment horizontal="center" vertical="center"/>
    </xf>
    <xf numFmtId="14" fontId="4" fillId="7" borderId="2" xfId="1" applyNumberFormat="1" applyFont="1" applyFill="1" applyBorder="1" applyAlignment="1">
      <alignment horizontal="center" vertical="center" indent="2"/>
    </xf>
    <xf numFmtId="14" fontId="3" fillId="7" borderId="2" xfId="1" applyNumberFormat="1" applyFont="1" applyFill="1" applyBorder="1" applyAlignment="1">
      <alignment horizontal="center" vertical="center"/>
    </xf>
    <xf numFmtId="14" fontId="3" fillId="7" borderId="2" xfId="1" applyNumberFormat="1" applyFont="1" applyFill="1" applyBorder="1" applyAlignment="1">
      <alignment horizontal="center" vertical="center" indent="2"/>
    </xf>
    <xf numFmtId="0" fontId="4" fillId="7" borderId="2" xfId="1" applyFont="1" applyFill="1" applyBorder="1" applyAlignment="1">
      <alignment horizontal="left" wrapText="1" indent="2"/>
    </xf>
    <xf numFmtId="0" fontId="9" fillId="0" borderId="0" xfId="1" applyFont="1" applyAlignment="1">
      <alignment horizontal="left" vertical="center"/>
    </xf>
    <xf numFmtId="0" fontId="14" fillId="0" borderId="0" xfId="2" applyFont="1" applyAlignment="1">
      <alignment horizontal="left" vertical="center" wrapText="1" indent="1"/>
    </xf>
    <xf numFmtId="0" fontId="19" fillId="9" borderId="0" xfId="4" applyFont="1" applyFill="1" applyAlignment="1">
      <alignment vertical="center"/>
    </xf>
    <xf numFmtId="0" fontId="20" fillId="9" borderId="0" xfId="4" applyFont="1" applyFill="1" applyAlignment="1">
      <alignment vertical="center"/>
    </xf>
    <xf numFmtId="0" fontId="18" fillId="0" borderId="0" xfId="4"/>
    <xf numFmtId="0" fontId="22" fillId="9" borderId="0" xfId="3" applyFont="1" applyFill="1" applyAlignment="1">
      <alignment horizontal="center" vertical="center"/>
    </xf>
    <xf numFmtId="0" fontId="23" fillId="9" borderId="0" xfId="3" applyFont="1" applyFill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4" fillId="0" borderId="0" xfId="5" applyAlignment="1">
      <alignment horizontal="center" vertical="center"/>
    </xf>
    <xf numFmtId="0" fontId="29" fillId="0" borderId="0" xfId="3" applyFont="1" applyAlignment="1">
      <alignment horizontal="center" vertical="center" wrapText="1"/>
    </xf>
    <xf numFmtId="0" fontId="30" fillId="0" borderId="0" xfId="4" applyFont="1" applyFill="1" applyAlignment="1">
      <alignment vertical="center"/>
    </xf>
    <xf numFmtId="0" fontId="32" fillId="0" borderId="0" xfId="4" applyFont="1"/>
    <xf numFmtId="0" fontId="30" fillId="0" borderId="0" xfId="4" applyFont="1" applyFill="1" applyAlignment="1">
      <alignment horizontal="center" vertical="center"/>
    </xf>
    <xf numFmtId="0" fontId="28" fillId="0" borderId="0" xfId="3" applyFont="1" applyAlignment="1">
      <alignment horizontal="left" vertical="center"/>
    </xf>
    <xf numFmtId="0" fontId="28" fillId="0" borderId="0" xfId="3" applyFont="1" applyAlignment="1">
      <alignment vertical="center"/>
    </xf>
    <xf numFmtId="0" fontId="28" fillId="0" borderId="0" xfId="3" applyFont="1" applyAlignment="1">
      <alignment horizontal="center" vertical="center"/>
    </xf>
    <xf numFmtId="0" fontId="28" fillId="0" borderId="0" xfId="5" applyFont="1" applyAlignment="1">
      <alignment vertical="center"/>
    </xf>
    <xf numFmtId="0" fontId="34" fillId="0" borderId="0" xfId="7" applyFont="1" applyAlignment="1">
      <alignment horizontal="left" vertical="center"/>
    </xf>
    <xf numFmtId="0" fontId="1" fillId="0" borderId="0" xfId="7" applyAlignment="1">
      <alignment vertical="center"/>
    </xf>
    <xf numFmtId="0" fontId="1" fillId="0" borderId="0" xfId="7" applyAlignment="1">
      <alignment horizontal="center" vertical="center"/>
    </xf>
    <xf numFmtId="0" fontId="1" fillId="0" borderId="0" xfId="7"/>
    <xf numFmtId="0" fontId="42" fillId="0" borderId="23" xfId="7" applyFont="1" applyBorder="1" applyAlignment="1">
      <alignment horizontal="left" vertical="center" wrapText="1"/>
    </xf>
    <xf numFmtId="0" fontId="1" fillId="0" borderId="23" xfId="7" applyBorder="1"/>
    <xf numFmtId="0" fontId="39" fillId="2" borderId="0" xfId="7" applyFont="1" applyFill="1" applyAlignment="1">
      <alignment horizontal="center" vertical="center"/>
    </xf>
    <xf numFmtId="0" fontId="1" fillId="0" borderId="35" xfId="7" applyBorder="1" applyAlignment="1">
      <alignment horizontal="center" vertical="center"/>
    </xf>
    <xf numFmtId="0" fontId="1" fillId="0" borderId="33" xfId="7" applyBorder="1" applyAlignment="1">
      <alignment horizontal="center" vertical="center"/>
    </xf>
    <xf numFmtId="0" fontId="1" fillId="0" borderId="0" xfId="7" applyAlignment="1">
      <alignment horizontal="left" vertical="center"/>
    </xf>
    <xf numFmtId="0" fontId="40" fillId="0" borderId="36" xfId="0" applyFont="1" applyBorder="1" applyAlignment="1">
      <alignment horizontal="center" wrapText="1"/>
    </xf>
    <xf numFmtId="0" fontId="40" fillId="0" borderId="36" xfId="0" applyFont="1" applyBorder="1" applyAlignment="1">
      <alignment wrapText="1"/>
    </xf>
    <xf numFmtId="0" fontId="43" fillId="0" borderId="36" xfId="0" applyFont="1" applyBorder="1" applyAlignment="1">
      <alignment vertical="center" wrapText="1"/>
    </xf>
    <xf numFmtId="0" fontId="43" fillId="0" borderId="36" xfId="0" applyFont="1" applyBorder="1" applyAlignment="1">
      <alignment wrapText="1"/>
    </xf>
    <xf numFmtId="0" fontId="43" fillId="15" borderId="36" xfId="0" applyFont="1" applyFill="1" applyBorder="1" applyAlignment="1">
      <alignment wrapText="1"/>
    </xf>
    <xf numFmtId="0" fontId="8" fillId="0" borderId="0" xfId="0" applyFont="1"/>
    <xf numFmtId="0" fontId="44" fillId="0" borderId="0" xfId="0" applyFont="1"/>
    <xf numFmtId="2" fontId="3" fillId="7" borderId="2" xfId="0" applyNumberFormat="1" applyFont="1" applyFill="1" applyBorder="1" applyAlignment="1">
      <alignment horizontal="center" vertical="center"/>
    </xf>
    <xf numFmtId="0" fontId="44" fillId="7" borderId="2" xfId="0" applyFont="1" applyFill="1" applyBorder="1"/>
    <xf numFmtId="16" fontId="3" fillId="7" borderId="2" xfId="0" applyNumberFormat="1" applyFont="1" applyFill="1" applyBorder="1" applyAlignment="1">
      <alignment horizontal="center"/>
    </xf>
    <xf numFmtId="16" fontId="3" fillId="7" borderId="2" xfId="0" applyNumberFormat="1" applyFont="1" applyFill="1" applyBorder="1" applyAlignment="1">
      <alignment horizontal="left"/>
    </xf>
    <xf numFmtId="0" fontId="44" fillId="0" borderId="2" xfId="0" applyFont="1" applyBorder="1"/>
    <xf numFmtId="16" fontId="3" fillId="0" borderId="2" xfId="0" applyNumberFormat="1" applyFont="1" applyBorder="1" applyAlignment="1">
      <alignment horizontal="center"/>
    </xf>
    <xf numFmtId="16" fontId="3" fillId="0" borderId="2" xfId="0" applyNumberFormat="1" applyFont="1" applyBorder="1" applyAlignment="1">
      <alignment horizontal="left"/>
    </xf>
    <xf numFmtId="2" fontId="3" fillId="0" borderId="2" xfId="0" applyNumberFormat="1" applyFont="1" applyBorder="1" applyAlignment="1">
      <alignment horizontal="center" vertical="center"/>
    </xf>
    <xf numFmtId="0" fontId="45" fillId="7" borderId="2" xfId="0" applyFont="1" applyFill="1" applyBorder="1"/>
    <xf numFmtId="0" fontId="45" fillId="0" borderId="2" xfId="0" applyFont="1" applyBorder="1"/>
    <xf numFmtId="0" fontId="46" fillId="7" borderId="2" xfId="0" applyFont="1" applyFill="1" applyBorder="1"/>
    <xf numFmtId="16" fontId="7" fillId="7" borderId="2" xfId="0" applyNumberFormat="1" applyFont="1" applyFill="1" applyBorder="1" applyAlignment="1">
      <alignment horizontal="center"/>
    </xf>
    <xf numFmtId="16" fontId="7" fillId="0" borderId="2" xfId="0" applyNumberFormat="1" applyFont="1" applyBorder="1" applyAlignment="1">
      <alignment horizontal="center"/>
    </xf>
    <xf numFmtId="16" fontId="7" fillId="7" borderId="2" xfId="0" applyNumberFormat="1" applyFont="1" applyFill="1" applyBorder="1" applyAlignment="1">
      <alignment horizontal="left"/>
    </xf>
    <xf numFmtId="16" fontId="7" fillId="0" borderId="2" xfId="0" applyNumberFormat="1" applyFont="1" applyBorder="1" applyAlignment="1">
      <alignment horizontal="left"/>
    </xf>
    <xf numFmtId="2" fontId="7" fillId="0" borderId="2" xfId="0" applyNumberFormat="1" applyFont="1" applyBorder="1" applyAlignment="1">
      <alignment horizontal="center" vertical="center"/>
    </xf>
    <xf numFmtId="0" fontId="14" fillId="7" borderId="2" xfId="2" applyFont="1" applyFill="1" applyBorder="1" applyAlignment="1">
      <alignment horizontal="left" vertical="center" wrapText="1" indent="1"/>
    </xf>
    <xf numFmtId="0" fontId="15" fillId="0" borderId="2" xfId="2" applyFont="1" applyBorder="1" applyAlignment="1">
      <alignment horizontal="left" vertical="center" wrapText="1" indent="1"/>
    </xf>
    <xf numFmtId="0" fontId="15" fillId="7" borderId="2" xfId="2" applyFont="1" applyFill="1" applyBorder="1" applyAlignment="1">
      <alignment horizontal="left" vertical="center" wrapText="1" indent="1"/>
    </xf>
    <xf numFmtId="0" fontId="3" fillId="0" borderId="2" xfId="1" applyFont="1" applyBorder="1" applyAlignment="1">
      <alignment horizontal="left" wrapText="1" indent="2"/>
    </xf>
    <xf numFmtId="0" fontId="3" fillId="7" borderId="2" xfId="1" applyFont="1" applyFill="1" applyBorder="1" applyAlignment="1">
      <alignment horizontal="left" wrapText="1" indent="2"/>
    </xf>
    <xf numFmtId="16" fontId="7" fillId="0" borderId="2" xfId="1" applyNumberFormat="1" applyFont="1" applyBorder="1" applyAlignment="1">
      <alignment horizontal="center"/>
    </xf>
    <xf numFmtId="16" fontId="7" fillId="0" borderId="2" xfId="1" applyNumberFormat="1" applyFont="1" applyBorder="1" applyAlignment="1">
      <alignment horizontal="left"/>
    </xf>
    <xf numFmtId="16" fontId="7" fillId="7" borderId="2" xfId="1" applyNumberFormat="1" applyFont="1" applyFill="1" applyBorder="1" applyAlignment="1">
      <alignment horizontal="center"/>
    </xf>
    <xf numFmtId="16" fontId="7" fillId="7" borderId="2" xfId="1" applyNumberFormat="1" applyFont="1" applyFill="1" applyBorder="1" applyAlignment="1">
      <alignment horizontal="left"/>
    </xf>
    <xf numFmtId="14" fontId="3" fillId="0" borderId="2" xfId="1" applyNumberFormat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 indent="2"/>
    </xf>
    <xf numFmtId="0" fontId="0" fillId="7" borderId="2" xfId="0" applyFill="1" applyBorder="1"/>
    <xf numFmtId="0" fontId="0" fillId="0" borderId="2" xfId="0" applyBorder="1"/>
    <xf numFmtId="0" fontId="0" fillId="7" borderId="3" xfId="0" applyFill="1" applyBorder="1"/>
    <xf numFmtId="0" fontId="0" fillId="0" borderId="3" xfId="0" applyBorder="1"/>
    <xf numFmtId="0" fontId="10" fillId="0" borderId="0" xfId="0" applyFont="1"/>
    <xf numFmtId="0" fontId="3" fillId="0" borderId="0" xfId="0" applyFont="1"/>
    <xf numFmtId="0" fontId="14" fillId="17" borderId="0" xfId="0" applyFont="1" applyFill="1" applyAlignment="1">
      <alignment wrapText="1"/>
    </xf>
    <xf numFmtId="0" fontId="48" fillId="0" borderId="0" xfId="0" applyFont="1"/>
    <xf numFmtId="0" fontId="8" fillId="17" borderId="0" xfId="0" applyFont="1" applyFill="1"/>
    <xf numFmtId="0" fontId="3" fillId="3" borderId="0" xfId="1" applyFont="1" applyFill="1" applyAlignment="1">
      <alignment horizontal="center" vertical="center"/>
    </xf>
    <xf numFmtId="0" fontId="36" fillId="18" borderId="36" xfId="9" applyFont="1" applyFill="1" applyBorder="1" applyAlignment="1">
      <alignment horizontal="left" vertical="center"/>
    </xf>
    <xf numFmtId="0" fontId="38" fillId="18" borderId="36" xfId="9" applyFont="1" applyFill="1" applyBorder="1" applyAlignment="1">
      <alignment horizontal="left" vertical="center"/>
    </xf>
    <xf numFmtId="0" fontId="39" fillId="18" borderId="23" xfId="8" applyFont="1" applyFill="1" applyBorder="1" applyAlignment="1">
      <alignment horizontal="center" vertical="center"/>
    </xf>
    <xf numFmtId="0" fontId="40" fillId="18" borderId="36" xfId="0" applyFont="1" applyFill="1" applyBorder="1" applyAlignment="1">
      <alignment wrapText="1"/>
    </xf>
    <xf numFmtId="0" fontId="40" fillId="18" borderId="36" xfId="0" applyFont="1" applyFill="1" applyBorder="1" applyAlignment="1">
      <alignment horizontal="center" wrapText="1"/>
    </xf>
    <xf numFmtId="0" fontId="49" fillId="16" borderId="36" xfId="9" applyFont="1" applyFill="1" applyBorder="1" applyAlignment="1">
      <alignment horizontal="left" vertical="center"/>
    </xf>
    <xf numFmtId="0" fontId="43" fillId="18" borderId="36" xfId="0" applyFont="1" applyFill="1" applyBorder="1" applyAlignment="1">
      <alignment wrapText="1"/>
    </xf>
    <xf numFmtId="0" fontId="43" fillId="18" borderId="36" xfId="0" applyFont="1" applyFill="1" applyBorder="1" applyAlignment="1">
      <alignment horizontal="center" wrapText="1"/>
    </xf>
    <xf numFmtId="0" fontId="51" fillId="18" borderId="36" xfId="0" applyFont="1" applyFill="1" applyBorder="1" applyAlignment="1">
      <alignment vertical="center" wrapText="1"/>
    </xf>
    <xf numFmtId="0" fontId="43" fillId="0" borderId="36" xfId="0" applyFont="1" applyBorder="1" applyAlignment="1">
      <alignment horizontal="left" wrapText="1"/>
    </xf>
    <xf numFmtId="0" fontId="52" fillId="0" borderId="36" xfId="0" applyFont="1" applyBorder="1" applyAlignment="1">
      <alignment wrapText="1"/>
    </xf>
    <xf numFmtId="0" fontId="52" fillId="0" borderId="36" xfId="0" applyFont="1" applyBorder="1" applyAlignment="1">
      <alignment horizontal="left" wrapText="1"/>
    </xf>
    <xf numFmtId="0" fontId="53" fillId="0" borderId="36" xfId="9" applyFont="1" applyBorder="1" applyAlignment="1">
      <alignment horizontal="left" vertical="center"/>
    </xf>
    <xf numFmtId="0" fontId="53" fillId="0" borderId="36" xfId="9" applyFont="1" applyBorder="1" applyAlignment="1">
      <alignment horizontal="left" vertical="center" wrapText="1"/>
    </xf>
    <xf numFmtId="0" fontId="53" fillId="16" borderId="36" xfId="9" applyFont="1" applyFill="1" applyBorder="1" applyAlignment="1">
      <alignment horizontal="left" vertical="center"/>
    </xf>
    <xf numFmtId="0" fontId="54" fillId="16" borderId="36" xfId="0" applyFont="1" applyFill="1" applyBorder="1" applyAlignment="1">
      <alignment wrapText="1"/>
    </xf>
    <xf numFmtId="0" fontId="55" fillId="16" borderId="36" xfId="9" applyFont="1" applyFill="1" applyBorder="1" applyAlignment="1">
      <alignment horizontal="left" vertical="center"/>
    </xf>
    <xf numFmtId="0" fontId="16" fillId="16" borderId="36" xfId="0" applyFont="1" applyFill="1" applyBorder="1" applyAlignment="1">
      <alignment wrapText="1"/>
    </xf>
    <xf numFmtId="0" fontId="52" fillId="16" borderId="36" xfId="0" applyFont="1" applyFill="1" applyBorder="1" applyAlignment="1">
      <alignment horizontal="left" wrapText="1"/>
    </xf>
    <xf numFmtId="0" fontId="53" fillId="16" borderId="36" xfId="9" applyFont="1" applyFill="1" applyBorder="1" applyAlignment="1">
      <alignment horizontal="left" vertical="center" wrapText="1"/>
    </xf>
    <xf numFmtId="0" fontId="1" fillId="0" borderId="36" xfId="7" applyBorder="1"/>
    <xf numFmtId="0" fontId="1" fillId="0" borderId="36" xfId="7" applyBorder="1" applyAlignment="1">
      <alignment vertical="center"/>
    </xf>
    <xf numFmtId="0" fontId="52" fillId="0" borderId="52" xfId="0" applyFont="1" applyBorder="1" applyAlignment="1">
      <alignment wrapText="1"/>
    </xf>
    <xf numFmtId="0" fontId="52" fillId="0" borderId="52" xfId="0" applyFont="1" applyBorder="1" applyAlignment="1">
      <alignment horizontal="left" wrapText="1"/>
    </xf>
    <xf numFmtId="0" fontId="43" fillId="15" borderId="36" xfId="0" applyFont="1" applyFill="1" applyBorder="1" applyAlignment="1">
      <alignment vertical="center" wrapText="1"/>
    </xf>
    <xf numFmtId="0" fontId="56" fillId="0" borderId="36" xfId="7" quotePrefix="1" applyFont="1" applyBorder="1" applyAlignment="1">
      <alignment horizontal="left" vertical="center" wrapText="1"/>
    </xf>
    <xf numFmtId="0" fontId="1" fillId="0" borderId="36" xfId="7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7" applyAlignment="1">
      <alignment horizontal="left" vertical="center" wrapText="1"/>
    </xf>
    <xf numFmtId="0" fontId="42" fillId="18" borderId="23" xfId="7" applyFont="1" applyFill="1" applyBorder="1" applyAlignment="1">
      <alignment horizontal="left" vertical="center" wrapText="1"/>
    </xf>
    <xf numFmtId="0" fontId="41" fillId="18" borderId="23" xfId="7" applyFont="1" applyFill="1" applyBorder="1" applyAlignment="1">
      <alignment horizontal="center" vertical="center"/>
    </xf>
    <xf numFmtId="0" fontId="42" fillId="0" borderId="37" xfId="7" applyFont="1" applyBorder="1" applyAlignment="1">
      <alignment horizontal="left" vertical="center" wrapText="1"/>
    </xf>
    <xf numFmtId="0" fontId="1" fillId="18" borderId="36" xfId="7" applyFill="1" applyBorder="1"/>
    <xf numFmtId="0" fontId="39" fillId="0" borderId="23" xfId="8" applyFont="1" applyBorder="1" applyAlignment="1">
      <alignment horizontal="center" vertical="center"/>
    </xf>
    <xf numFmtId="0" fontId="41" fillId="0" borderId="23" xfId="7" applyFont="1" applyBorder="1" applyAlignment="1">
      <alignment horizontal="center" vertical="center"/>
    </xf>
    <xf numFmtId="0" fontId="43" fillId="16" borderId="36" xfId="0" applyFont="1" applyFill="1" applyBorder="1" applyAlignment="1">
      <alignment wrapText="1"/>
    </xf>
    <xf numFmtId="0" fontId="40" fillId="16" borderId="36" xfId="0" applyFont="1" applyFill="1" applyBorder="1" applyAlignment="1">
      <alignment horizontal="center" wrapText="1"/>
    </xf>
    <xf numFmtId="0" fontId="42" fillId="16" borderId="23" xfId="7" applyFont="1" applyFill="1" applyBorder="1" applyAlignment="1">
      <alignment horizontal="left" vertical="center" wrapText="1"/>
    </xf>
    <xf numFmtId="0" fontId="39" fillId="16" borderId="23" xfId="8" applyFont="1" applyFill="1" applyBorder="1" applyAlignment="1">
      <alignment horizontal="center" vertical="center"/>
    </xf>
    <xf numFmtId="0" fontId="1" fillId="16" borderId="36" xfId="7" applyFill="1" applyBorder="1"/>
    <xf numFmtId="1" fontId="11" fillId="0" borderId="0" xfId="1" applyNumberFormat="1" applyFont="1" applyAlignment="1">
      <alignment horizontal="center"/>
    </xf>
    <xf numFmtId="1" fontId="10" fillId="0" borderId="0" xfId="1" applyNumberFormat="1" applyFont="1" applyAlignment="1">
      <alignment horizontal="center"/>
    </xf>
    <xf numFmtId="1" fontId="9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1" fontId="50" fillId="0" borderId="36" xfId="7" applyNumberFormat="1" applyFont="1" applyBorder="1" applyAlignment="1">
      <alignment horizontal="center" vertical="center"/>
    </xf>
    <xf numFmtId="0" fontId="55" fillId="0" borderId="36" xfId="9" applyFont="1" applyBorder="1" applyAlignment="1">
      <alignment horizontal="left" vertical="center"/>
    </xf>
    <xf numFmtId="0" fontId="50" fillId="16" borderId="23" xfId="8" applyFont="1" applyFill="1" applyBorder="1" applyAlignment="1">
      <alignment horizontal="center" vertical="center"/>
    </xf>
    <xf numFmtId="0" fontId="50" fillId="0" borderId="23" xfId="8" applyFont="1" applyBorder="1" applyAlignment="1">
      <alignment horizontal="center" vertical="center"/>
    </xf>
    <xf numFmtId="0" fontId="26" fillId="11" borderId="13" xfId="5" applyFont="1" applyFill="1" applyBorder="1" applyAlignment="1">
      <alignment horizontal="center" vertical="center"/>
    </xf>
    <xf numFmtId="0" fontId="26" fillId="11" borderId="14" xfId="5" applyFont="1" applyFill="1" applyBorder="1" applyAlignment="1">
      <alignment horizontal="center" vertical="center"/>
    </xf>
    <xf numFmtId="0" fontId="26" fillId="11" borderId="15" xfId="5" applyFont="1" applyFill="1" applyBorder="1" applyAlignment="1">
      <alignment horizontal="center" vertical="center"/>
    </xf>
    <xf numFmtId="0" fontId="26" fillId="11" borderId="16" xfId="5" applyFont="1" applyFill="1" applyBorder="1" applyAlignment="1">
      <alignment horizontal="center" vertical="center"/>
    </xf>
    <xf numFmtId="0" fontId="26" fillId="11" borderId="17" xfId="5" applyFont="1" applyFill="1" applyBorder="1" applyAlignment="1">
      <alignment horizontal="center" vertical="center"/>
    </xf>
    <xf numFmtId="0" fontId="26" fillId="11" borderId="18" xfId="5" applyFont="1" applyFill="1" applyBorder="1" applyAlignment="1">
      <alignment horizontal="center" vertical="center"/>
    </xf>
    <xf numFmtId="0" fontId="17" fillId="8" borderId="0" xfId="3" applyFont="1" applyFill="1" applyAlignment="1">
      <alignment horizontal="center" vertical="center" wrapText="1"/>
    </xf>
    <xf numFmtId="0" fontId="21" fillId="10" borderId="0" xfId="4" applyFont="1" applyFill="1" applyAlignment="1">
      <alignment horizontal="center" vertical="center"/>
    </xf>
    <xf numFmtId="0" fontId="25" fillId="0" borderId="4" xfId="5" applyFont="1" applyBorder="1" applyAlignment="1">
      <alignment horizontal="center" vertical="center"/>
    </xf>
    <xf numFmtId="0" fontId="25" fillId="0" borderId="5" xfId="5" applyFont="1" applyBorder="1" applyAlignment="1">
      <alignment horizontal="center" vertical="center"/>
    </xf>
    <xf numFmtId="0" fontId="25" fillId="0" borderId="6" xfId="5" applyFont="1" applyBorder="1" applyAlignment="1">
      <alignment horizontal="center" vertical="center"/>
    </xf>
    <xf numFmtId="0" fontId="25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25" fillId="0" borderId="9" xfId="5" applyFont="1" applyBorder="1" applyAlignment="1">
      <alignment horizontal="center" vertical="center"/>
    </xf>
    <xf numFmtId="0" fontId="25" fillId="0" borderId="10" xfId="5" applyFont="1" applyBorder="1" applyAlignment="1">
      <alignment horizontal="center"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8" fillId="0" borderId="25" xfId="6" applyFont="1" applyBorder="1" applyAlignment="1">
      <alignment horizontal="right" vertical="center"/>
    </xf>
    <xf numFmtId="0" fontId="28" fillId="0" borderId="26" xfId="6" applyFont="1" applyBorder="1" applyAlignment="1">
      <alignment horizontal="right" vertical="center"/>
    </xf>
    <xf numFmtId="14" fontId="28" fillId="9" borderId="26" xfId="6" applyNumberFormat="1" applyFont="1" applyFill="1" applyBorder="1" applyAlignment="1">
      <alignment horizontal="left" vertical="center"/>
    </xf>
    <xf numFmtId="14" fontId="28" fillId="9" borderId="27" xfId="6" applyNumberFormat="1" applyFont="1" applyFill="1" applyBorder="1" applyAlignment="1">
      <alignment horizontal="left"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horizontal="right" vertical="center"/>
    </xf>
    <xf numFmtId="2" fontId="28" fillId="0" borderId="20" xfId="6" applyNumberFormat="1" applyFont="1" applyBorder="1" applyAlignment="1">
      <alignment horizontal="left" vertical="center"/>
    </xf>
    <xf numFmtId="2" fontId="28" fillId="0" borderId="21" xfId="6" applyNumberFormat="1" applyFont="1" applyBorder="1" applyAlignment="1">
      <alignment horizontal="left" vertical="center"/>
    </xf>
    <xf numFmtId="0" fontId="28" fillId="0" borderId="22" xfId="6" applyFont="1" applyBorder="1" applyAlignment="1">
      <alignment horizontal="right" vertical="center"/>
    </xf>
    <xf numFmtId="0" fontId="28" fillId="0" borderId="23" xfId="6" applyFont="1" applyBorder="1" applyAlignment="1">
      <alignment horizontal="right" vertical="center"/>
    </xf>
    <xf numFmtId="14" fontId="28" fillId="9" borderId="23" xfId="6" applyNumberFormat="1" applyFont="1" applyFill="1" applyBorder="1" applyAlignment="1">
      <alignment horizontal="left" vertical="center"/>
    </xf>
    <xf numFmtId="14" fontId="28" fillId="9" borderId="24" xfId="6" applyNumberFormat="1" applyFont="1" applyFill="1" applyBorder="1" applyAlignment="1">
      <alignment horizontal="left" vertical="center"/>
    </xf>
    <xf numFmtId="0" fontId="29" fillId="0" borderId="0" xfId="3" applyFont="1" applyAlignment="1">
      <alignment horizontal="center" vertical="center" wrapText="1"/>
    </xf>
    <xf numFmtId="0" fontId="31" fillId="12" borderId="28" xfId="4" applyFont="1" applyFill="1" applyBorder="1" applyAlignment="1">
      <alignment horizontal="center" vertical="center"/>
    </xf>
    <xf numFmtId="0" fontId="31" fillId="12" borderId="0" xfId="4" applyFont="1" applyFill="1" applyAlignment="1">
      <alignment horizontal="center" vertical="center"/>
    </xf>
    <xf numFmtId="0" fontId="30" fillId="0" borderId="0" xfId="4" applyFont="1" applyFill="1" applyAlignment="1">
      <alignment horizontal="center" vertical="center"/>
    </xf>
    <xf numFmtId="0" fontId="33" fillId="13" borderId="29" xfId="5" applyFont="1" applyFill="1" applyBorder="1" applyAlignment="1">
      <alignment horizontal="center" vertical="center" wrapText="1"/>
    </xf>
    <xf numFmtId="0" fontId="33" fillId="13" borderId="30" xfId="5" applyFont="1" applyFill="1" applyBorder="1" applyAlignment="1">
      <alignment horizontal="center" vertical="center" wrapText="1"/>
    </xf>
    <xf numFmtId="0" fontId="33" fillId="13" borderId="29" xfId="5" applyFont="1" applyFill="1" applyBorder="1" applyAlignment="1">
      <alignment horizontal="center" vertical="center"/>
    </xf>
    <xf numFmtId="0" fontId="33" fillId="13" borderId="30" xfId="5" applyFont="1" applyFill="1" applyBorder="1" applyAlignment="1">
      <alignment horizontal="center" vertical="center"/>
    </xf>
    <xf numFmtId="2" fontId="32" fillId="14" borderId="23" xfId="5" applyNumberFormat="1" applyFont="1" applyFill="1" applyBorder="1" applyAlignment="1">
      <alignment horizontal="center" vertical="center"/>
    </xf>
    <xf numFmtId="0" fontId="32" fillId="14" borderId="23" xfId="5" applyFont="1" applyFill="1" applyBorder="1" applyAlignment="1">
      <alignment horizontal="left" vertical="center" wrapText="1"/>
    </xf>
    <xf numFmtId="14" fontId="32" fillId="14" borderId="23" xfId="5" applyNumberFormat="1" applyFont="1" applyFill="1" applyBorder="1" applyAlignment="1">
      <alignment horizontal="center" vertical="center"/>
    </xf>
    <xf numFmtId="0" fontId="47" fillId="14" borderId="39" xfId="5" applyFont="1" applyFill="1" applyBorder="1" applyAlignment="1">
      <alignment horizontal="left" vertical="center" wrapText="1"/>
    </xf>
    <xf numFmtId="0" fontId="47" fillId="14" borderId="42" xfId="5" applyFont="1" applyFill="1" applyBorder="1" applyAlignment="1">
      <alignment horizontal="left" vertical="center" wrapText="1"/>
    </xf>
    <xf numFmtId="0" fontId="47" fillId="14" borderId="43" xfId="5" applyFont="1" applyFill="1" applyBorder="1" applyAlignment="1">
      <alignment horizontal="left" vertical="center" wrapText="1"/>
    </xf>
    <xf numFmtId="14" fontId="47" fillId="14" borderId="42" xfId="5" applyNumberFormat="1" applyFont="1" applyFill="1" applyBorder="1" applyAlignment="1">
      <alignment horizontal="center" vertical="center"/>
    </xf>
    <xf numFmtId="14" fontId="47" fillId="14" borderId="43" xfId="5" applyNumberFormat="1" applyFont="1" applyFill="1" applyBorder="1" applyAlignment="1">
      <alignment horizontal="center" vertical="center"/>
    </xf>
    <xf numFmtId="14" fontId="47" fillId="14" borderId="45" xfId="5" applyNumberFormat="1" applyFont="1" applyFill="1" applyBorder="1" applyAlignment="1">
      <alignment horizontal="center" vertical="center"/>
    </xf>
    <xf numFmtId="14" fontId="47" fillId="14" borderId="35" xfId="5" applyNumberFormat="1" applyFont="1" applyFill="1" applyBorder="1" applyAlignment="1">
      <alignment horizontal="center" vertical="center"/>
    </xf>
    <xf numFmtId="0" fontId="47" fillId="14" borderId="44" xfId="5" applyFont="1" applyFill="1" applyBorder="1" applyAlignment="1">
      <alignment horizontal="left" vertical="center" wrapText="1"/>
    </xf>
    <xf numFmtId="0" fontId="47" fillId="14" borderId="45" xfId="5" applyFont="1" applyFill="1" applyBorder="1" applyAlignment="1">
      <alignment horizontal="left" vertical="center" wrapText="1"/>
    </xf>
    <xf numFmtId="0" fontId="47" fillId="14" borderId="35" xfId="5" applyFont="1" applyFill="1" applyBorder="1" applyAlignment="1">
      <alignment horizontal="left" vertical="center" wrapText="1"/>
    </xf>
    <xf numFmtId="0" fontId="47" fillId="14" borderId="39" xfId="5" applyFont="1" applyFill="1" applyBorder="1" applyAlignment="1">
      <alignment horizontal="center" vertical="center" wrapText="1"/>
    </xf>
    <xf numFmtId="0" fontId="47" fillId="14" borderId="42" xfId="5" applyFont="1" applyFill="1" applyBorder="1" applyAlignment="1">
      <alignment horizontal="center" vertical="center" wrapText="1"/>
    </xf>
    <xf numFmtId="0" fontId="47" fillId="14" borderId="43" xfId="5" applyFont="1" applyFill="1" applyBorder="1" applyAlignment="1">
      <alignment horizontal="center" vertical="center" wrapText="1"/>
    </xf>
    <xf numFmtId="0" fontId="47" fillId="14" borderId="44" xfId="5" applyFont="1" applyFill="1" applyBorder="1" applyAlignment="1">
      <alignment horizontal="center" vertical="center" wrapText="1"/>
    </xf>
    <xf numFmtId="0" fontId="47" fillId="14" borderId="45" xfId="5" applyFont="1" applyFill="1" applyBorder="1" applyAlignment="1">
      <alignment horizontal="center" vertical="center" wrapText="1"/>
    </xf>
    <xf numFmtId="0" fontId="47" fillId="14" borderId="35" xfId="5" applyFont="1" applyFill="1" applyBorder="1" applyAlignment="1">
      <alignment horizontal="center" vertical="center" wrapText="1"/>
    </xf>
    <xf numFmtId="14" fontId="47" fillId="14" borderId="39" xfId="5" applyNumberFormat="1" applyFont="1" applyFill="1" applyBorder="1" applyAlignment="1">
      <alignment horizontal="center" vertical="center"/>
    </xf>
    <xf numFmtId="14" fontId="47" fillId="14" borderId="44" xfId="5" applyNumberFormat="1" applyFont="1" applyFill="1" applyBorder="1" applyAlignment="1">
      <alignment horizontal="center" vertical="center"/>
    </xf>
    <xf numFmtId="2" fontId="47" fillId="14" borderId="39" xfId="5" applyNumberFormat="1" applyFont="1" applyFill="1" applyBorder="1" applyAlignment="1">
      <alignment horizontal="center" vertical="center"/>
    </xf>
    <xf numFmtId="2" fontId="47" fillId="14" borderId="42" xfId="5" applyNumberFormat="1" applyFont="1" applyFill="1" applyBorder="1" applyAlignment="1">
      <alignment horizontal="center" vertical="center"/>
    </xf>
    <xf numFmtId="2" fontId="47" fillId="14" borderId="44" xfId="5" applyNumberFormat="1" applyFont="1" applyFill="1" applyBorder="1" applyAlignment="1">
      <alignment horizontal="center" vertical="center"/>
    </xf>
    <xf numFmtId="2" fontId="47" fillId="14" borderId="45" xfId="5" applyNumberFormat="1" applyFont="1" applyFill="1" applyBorder="1" applyAlignment="1">
      <alignment horizontal="center" vertical="center"/>
    </xf>
    <xf numFmtId="0" fontId="47" fillId="14" borderId="38" xfId="5" applyFont="1" applyFill="1" applyBorder="1" applyAlignment="1">
      <alignment horizontal="left" vertical="center" wrapText="1"/>
    </xf>
    <xf numFmtId="0" fontId="47" fillId="14" borderId="49" xfId="5" applyFont="1" applyFill="1" applyBorder="1" applyAlignment="1">
      <alignment horizontal="left" vertical="center" wrapText="1"/>
    </xf>
    <xf numFmtId="0" fontId="47" fillId="14" borderId="50" xfId="5" applyFont="1" applyFill="1" applyBorder="1" applyAlignment="1">
      <alignment horizontal="left" vertical="center" wrapText="1"/>
    </xf>
    <xf numFmtId="0" fontId="47" fillId="14" borderId="51" xfId="5" applyFont="1" applyFill="1" applyBorder="1" applyAlignment="1">
      <alignment horizontal="left" vertical="center" wrapText="1"/>
    </xf>
    <xf numFmtId="0" fontId="47" fillId="14" borderId="46" xfId="5" applyFont="1" applyFill="1" applyBorder="1" applyAlignment="1">
      <alignment horizontal="left" vertical="center" wrapText="1"/>
    </xf>
    <xf numFmtId="0" fontId="47" fillId="14" borderId="47" xfId="5" applyFont="1" applyFill="1" applyBorder="1" applyAlignment="1">
      <alignment horizontal="left" vertical="center" wrapText="1"/>
    </xf>
    <xf numFmtId="0" fontId="47" fillId="14" borderId="48" xfId="5" applyFont="1" applyFill="1" applyBorder="1" applyAlignment="1">
      <alignment horizontal="left" vertical="center" wrapText="1"/>
    </xf>
    <xf numFmtId="14" fontId="32" fillId="14" borderId="31" xfId="5" applyNumberFormat="1" applyFont="1" applyFill="1" applyBorder="1" applyAlignment="1">
      <alignment horizontal="center" vertical="center"/>
    </xf>
    <xf numFmtId="14" fontId="32" fillId="14" borderId="32" xfId="5" applyNumberFormat="1" applyFont="1" applyFill="1" applyBorder="1" applyAlignment="1">
      <alignment horizontal="center" vertical="center"/>
    </xf>
    <xf numFmtId="14" fontId="32" fillId="14" borderId="33" xfId="5" applyNumberFormat="1" applyFont="1" applyFill="1" applyBorder="1" applyAlignment="1">
      <alignment horizontal="center" vertical="center"/>
    </xf>
    <xf numFmtId="0" fontId="36" fillId="18" borderId="37" xfId="8" applyFont="1" applyFill="1" applyBorder="1" applyAlignment="1">
      <alignment horizontal="center" vertical="center"/>
    </xf>
    <xf numFmtId="0" fontId="36" fillId="18" borderId="40" xfId="8" applyFont="1" applyFill="1" applyBorder="1" applyAlignment="1">
      <alignment horizontal="center" vertical="center"/>
    </xf>
    <xf numFmtId="0" fontId="39" fillId="2" borderId="34" xfId="7" applyFont="1" applyFill="1" applyBorder="1" applyAlignment="1">
      <alignment horizontal="center" vertical="center"/>
    </xf>
    <xf numFmtId="0" fontId="36" fillId="18" borderId="37" xfId="8" applyFont="1" applyFill="1" applyBorder="1" applyAlignment="1">
      <alignment horizontal="left" vertical="center" wrapText="1"/>
    </xf>
    <xf numFmtId="0" fontId="36" fillId="18" borderId="38" xfId="8" applyFont="1" applyFill="1" applyBorder="1" applyAlignment="1">
      <alignment horizontal="left" vertical="center" wrapText="1"/>
    </xf>
    <xf numFmtId="0" fontId="36" fillId="18" borderId="37" xfId="8" applyFont="1" applyFill="1" applyBorder="1" applyAlignment="1">
      <alignment horizontal="center" vertical="center" wrapText="1"/>
    </xf>
    <xf numFmtId="0" fontId="36" fillId="18" borderId="38" xfId="8" applyFont="1" applyFill="1" applyBorder="1" applyAlignment="1">
      <alignment horizontal="center" vertical="center" wrapText="1"/>
    </xf>
    <xf numFmtId="0" fontId="36" fillId="18" borderId="39" xfId="8" applyFont="1" applyFill="1" applyBorder="1" applyAlignment="1">
      <alignment horizontal="center" vertical="center"/>
    </xf>
    <xf numFmtId="0" fontId="36" fillId="18" borderId="41" xfId="8" applyFont="1" applyFill="1" applyBorder="1" applyAlignment="1">
      <alignment horizontal="center" vertical="center"/>
    </xf>
    <xf numFmtId="9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0" fontId="53" fillId="0" borderId="36" xfId="9" applyFont="1" applyFill="1" applyBorder="1" applyAlignment="1">
      <alignment horizontal="left" vertical="center"/>
    </xf>
  </cellXfs>
  <cellStyles count="10">
    <cellStyle name="Normal" xfId="0" builtinId="0"/>
    <cellStyle name="Normal 10 2 3" xfId="7" xr:uid="{B6A59048-946D-402F-A3E1-F0156F1BDA30}"/>
    <cellStyle name="Normal 16 2" xfId="2" xr:uid="{C3E3BB6E-257E-486D-B0FB-4000ADE616C6}"/>
    <cellStyle name="Normal 2 2 2" xfId="3" xr:uid="{4FD39206-E2C4-49E2-90D0-FE40D6882B7D}"/>
    <cellStyle name="Normal 2 2 2 2" xfId="5" xr:uid="{F430DC1E-506F-4C5D-BD43-F02A1D6B5D78}"/>
    <cellStyle name="Normal 2 4 2" xfId="9" xr:uid="{A8E58232-98FD-499F-8311-BA2DF4585138}"/>
    <cellStyle name="Normal 23" xfId="1" xr:uid="{B451216C-B5BC-408C-AD18-EB2CB9763B5A}"/>
    <cellStyle name="Normal 3 3 3" xfId="4" xr:uid="{E162A2FB-8F82-4545-B10F-F66279623CE9}"/>
    <cellStyle name="Normal 5 2" xfId="8" xr:uid="{98407330-FBF8-40EF-8103-2E71E3D65342}"/>
    <cellStyle name="標準_表紙目次 1" xfId="6" xr:uid="{B9168508-9219-4A8B-8372-B3D59941621F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1" formatCode="d\-mmm"/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1" formatCode="d\-mmm"/>
      <alignment horizontal="center" vertical="bottom" textRotation="0" wrapText="0" relativeIndent="0" justifyLastLine="0" shrinkToFit="0" readingOrder="0"/>
    </dxf>
    <dxf>
      <font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Medium9"/>
  <colors>
    <mruColors>
      <color rgb="FF8C0B0B"/>
      <color rgb="FFC92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187324</xdr:colOff>
      <xdr:row>1</xdr:row>
      <xdr:rowOff>82551</xdr:rowOff>
    </xdr:from>
    <xdr:to>
      <xdr:col>29</xdr:col>
      <xdr:colOff>5091</xdr:colOff>
      <xdr:row>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D2729-4E09-4C60-87BF-D41A9FB9B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4824" y="244476"/>
          <a:ext cx="2484767" cy="841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</xdr:colOff>
      <xdr:row>0</xdr:row>
      <xdr:rowOff>0</xdr:rowOff>
    </xdr:from>
    <xdr:to>
      <xdr:col>9</xdr:col>
      <xdr:colOff>180975</xdr:colOff>
      <xdr:row>4</xdr:row>
      <xdr:rowOff>4057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AADA3-E8B9-430D-A899-4F2C9905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" y="0"/>
          <a:ext cx="1892300" cy="6517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wison.denampo@cit.edu" id="{F7B82FFE-0145-4026-9BCD-0C80ADB135AD}" userId="S::urn:spo:guest#elwison.denampo@cit.edu::" providerId="AD"/>
  <person displayName="Marie Abigail Ralota" id="{91F4B8BC-3A15-4568-B97D-742D6369588A}" userId="S::mralota@asi-dev5.com::e2809302-95d7-41ef-b51e-076d181af68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3A7E2-95D7-4EFD-B434-59B37452238A}" name="Table13534" displayName="Table13534" ref="F1:N178" totalsRowShown="0" headerRowDxfId="10" dataDxfId="9">
  <autoFilter ref="F1:N178" xr:uid="{DB03A7E2-95D7-4EFD-B434-59B37452238A}"/>
  <tableColumns count="9">
    <tableColumn id="2" xr3:uid="{BC6165A3-37EA-4309-A0ED-AD98DF0C692D}" name="WBS" dataDxfId="8"/>
    <tableColumn id="3" xr3:uid="{9C3C347E-0D51-4AF3-91E5-ABFC7DD55EBA}" name="Task" dataDxfId="7"/>
    <tableColumn id="4" xr3:uid="{1CEA3548-09CB-409A-9C4D-78D7649731E5}" name="Baseline Start" dataDxfId="6"/>
    <tableColumn id="5" xr3:uid="{8035BCE0-A73C-4025-AE16-BDD6B917C904}" name="Baseline End" dataDxfId="5"/>
    <tableColumn id="8" xr3:uid="{AC23F627-CCD0-4A0F-B69E-4997351904FA}" name="Days" dataDxfId="4" dataCellStyle="Normal 23">
      <calculatedColumnFormula>DAYS360(H2,I2)+1</calculatedColumnFormula>
    </tableColumn>
    <tableColumn id="9" xr3:uid="{7C63454B-82D5-4E10-BF30-7F86DB5F970D}" name="Predecessors" dataDxfId="3" dataCellStyle="Normal 23"/>
    <tableColumn id="10" xr3:uid="{8A89E281-C7A2-4628-BD9D-ED69696D2D7A}" name="Actual Days Data" dataDxfId="2" dataCellStyle="Normal 23">
      <calculatedColumnFormula>DAYS360(M2,N2)+1</calculatedColumnFormula>
    </tableColumn>
    <tableColumn id="1" xr3:uid="{ADD9DBEA-783A-4356-8EA9-064A902CBDF1}" name="Actual Start" dataDxfId="1" dataCellStyle="Normal 23"/>
    <tableColumn id="11" xr3:uid="{D80D44AF-B2C3-4719-A948-FF26B96BED58}" name="Actual End" dataDxfId="0" dataCellStyle="Normal 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" dT="2025-11-12T13:05:09.44" personId="{91F4B8BC-3A15-4568-B97D-742D6369588A}" id="{83D04E21-C2BB-4CD3-8100-2718825D2DBC}">
    <text>Complete Actual Start and Actual End  columns</text>
  </threadedComment>
  <threadedComment ref="A11" dT="2025-11-12T13:03:47.07" personId="{91F4B8BC-3A15-4568-B97D-742D6369588A}" id="{5DB799F3-1884-4909-B20A-B44C4B31022C}">
    <text>Other sheets are missing? 
Cover Page
Revision History
Function List</text>
  </threadedComment>
  <threadedComment ref="A11" dT="2025-11-17T18:42:48.39" personId="{F7B82FFE-0145-4026-9BCD-0C80ADB135AD}" id="{534ABED5-3605-448A-898D-91F5B36EE7D0}" parentId="{5DB799F3-1884-4909-B20A-B44C4B31022C}">
    <text>Resolved</text>
  </threadedComment>
  <threadedComment ref="C11" dT="2025-11-12T13:04:23.75" personId="{91F4B8BC-3A15-4568-B97D-742D6369588A}" id="{18FDFBD9-F267-43E2-971C-46BD113AFBAC}">
    <text>Complete assignment of Tasks</text>
  </threadedComment>
  <threadedComment ref="C11" dT="2025-11-17T18:42:56.10" personId="{F7B82FFE-0145-4026-9BCD-0C80ADB135AD}" id="{D0B004E4-7ED3-419E-92AC-47CE2445F744}" parentId="{18FDFBD9-F267-43E2-971C-46BD113AFBAC}">
    <text>Resolved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C69F-BE4C-46E3-9EBF-A5C745044626}">
  <dimension ref="A1:AT30"/>
  <sheetViews>
    <sheetView showGridLines="0" view="pageBreakPreview" zoomScaleNormal="100" zoomScaleSheetLayoutView="100" workbookViewId="0">
      <selection activeCell="AG32" sqref="AG32"/>
    </sheetView>
  </sheetViews>
  <sheetFormatPr defaultColWidth="10.140625" defaultRowHeight="12.75"/>
  <cols>
    <col min="1" max="46" width="2.85546875" style="57" customWidth="1"/>
    <col min="47" max="250" width="2.85546875" style="52" customWidth="1"/>
    <col min="251" max="16384" width="10.140625" style="52"/>
  </cols>
  <sheetData>
    <row r="1" spans="1:46" ht="12.75" customHeight="1">
      <c r="A1" s="176"/>
      <c r="B1" s="176"/>
      <c r="C1" s="176"/>
      <c r="D1" s="176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1"/>
    </row>
    <row r="2" spans="1:46" ht="12.75" customHeight="1">
      <c r="A2" s="176"/>
      <c r="B2" s="176"/>
      <c r="C2" s="176"/>
      <c r="D2" s="176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1"/>
    </row>
    <row r="3" spans="1:46" ht="12.75" customHeight="1">
      <c r="A3" s="177"/>
      <c r="B3" s="177"/>
      <c r="C3" s="177"/>
      <c r="D3" s="177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1"/>
    </row>
    <row r="4" spans="1:46" ht="12.75" customHeight="1">
      <c r="A4" s="177"/>
      <c r="B4" s="177"/>
      <c r="C4" s="177"/>
      <c r="D4" s="177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1"/>
    </row>
    <row r="5" spans="1:46">
      <c r="A5" s="53"/>
      <c r="B5" s="53"/>
      <c r="C5" s="53"/>
      <c r="D5" s="53"/>
      <c r="E5" s="53"/>
      <c r="F5" s="53"/>
      <c r="G5" s="53"/>
      <c r="H5" s="53"/>
      <c r="I5" s="53"/>
      <c r="J5" s="54"/>
      <c r="K5" s="54"/>
      <c r="L5" s="55"/>
      <c r="M5" s="55"/>
      <c r="N5" s="56"/>
      <c r="O5" s="56"/>
      <c r="P5" s="56"/>
      <c r="Q5" s="55"/>
      <c r="R5" s="55"/>
      <c r="S5" s="55"/>
      <c r="T5" s="56"/>
      <c r="U5" s="56"/>
      <c r="V5" s="56"/>
      <c r="W5" s="55"/>
      <c r="X5" s="55"/>
      <c r="Y5" s="55"/>
      <c r="Z5" s="56"/>
      <c r="AA5" s="56"/>
      <c r="AB5" s="56"/>
      <c r="AC5" s="55"/>
      <c r="AD5" s="55"/>
      <c r="AE5" s="55"/>
      <c r="AF5" s="56"/>
      <c r="AG5" s="56"/>
      <c r="AH5" s="55"/>
      <c r="AI5" s="55"/>
      <c r="AJ5" s="55"/>
      <c r="AK5" s="56"/>
      <c r="AL5" s="56"/>
      <c r="AM5" s="56"/>
      <c r="AN5" s="56"/>
      <c r="AO5" s="55"/>
      <c r="AP5" s="55"/>
      <c r="AQ5" s="55"/>
      <c r="AR5" s="55"/>
      <c r="AS5" s="55"/>
      <c r="AT5" s="56"/>
    </row>
    <row r="9" spans="1:46">
      <c r="H9" s="178" t="s">
        <v>0</v>
      </c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80"/>
    </row>
    <row r="10" spans="1:46">
      <c r="H10" s="181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3"/>
    </row>
    <row r="11" spans="1:46">
      <c r="H11" s="181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3"/>
    </row>
    <row r="12" spans="1:46">
      <c r="H12" s="181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3"/>
    </row>
    <row r="13" spans="1:46">
      <c r="H13" s="184" t="s">
        <v>1</v>
      </c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6"/>
    </row>
    <row r="14" spans="1:46">
      <c r="H14" s="184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6"/>
    </row>
    <row r="15" spans="1:46">
      <c r="H15" s="184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6"/>
    </row>
    <row r="16" spans="1:46">
      <c r="H16" s="184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6"/>
    </row>
    <row r="17" spans="8:39">
      <c r="H17" s="170" t="s">
        <v>2</v>
      </c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2"/>
    </row>
    <row r="18" spans="8:39">
      <c r="H18" s="170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2"/>
    </row>
    <row r="19" spans="8:39">
      <c r="H19" s="170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2"/>
    </row>
    <row r="20" spans="8:39">
      <c r="H20" s="173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5"/>
    </row>
    <row r="27" spans="8:39">
      <c r="H27" s="191" t="s">
        <v>3</v>
      </c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3">
        <v>1.4</v>
      </c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4"/>
    </row>
    <row r="28" spans="8:39">
      <c r="H28" s="195" t="s">
        <v>4</v>
      </c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7" t="s">
        <v>5</v>
      </c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8"/>
    </row>
    <row r="29" spans="8:39">
      <c r="H29" s="195" t="s">
        <v>6</v>
      </c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7" t="s">
        <v>7</v>
      </c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8"/>
    </row>
    <row r="30" spans="8:39">
      <c r="H30" s="187" t="s">
        <v>8</v>
      </c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9" t="s">
        <v>7</v>
      </c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90"/>
    </row>
  </sheetData>
  <mergeCells count="14">
    <mergeCell ref="H30:T30"/>
    <mergeCell ref="U30:AM30"/>
    <mergeCell ref="H27:T27"/>
    <mergeCell ref="U27:AM27"/>
    <mergeCell ref="H28:T28"/>
    <mergeCell ref="U28:AM28"/>
    <mergeCell ref="H29:T29"/>
    <mergeCell ref="U29:AM29"/>
    <mergeCell ref="H17:AM20"/>
    <mergeCell ref="A1:D2"/>
    <mergeCell ref="A3:D3"/>
    <mergeCell ref="A4:D4"/>
    <mergeCell ref="H9:AM12"/>
    <mergeCell ref="H13:AM16"/>
  </mergeCells>
  <dataValidations count="1">
    <dataValidation type="list" operator="equal" sqref="B1:B30" xr:uid="{D5B0833B-3412-4CF7-9607-A47D3B5C48B4}">
      <formula1>"Normal,Abnormal"</formula1>
      <formula2>0</formula2>
    </dataValidation>
  </dataValidation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22D7-918A-4020-8F82-F2E35904DB57}">
  <dimension ref="A1:AY32"/>
  <sheetViews>
    <sheetView showGridLines="0" view="pageBreakPreview" zoomScaleNormal="100" zoomScaleSheetLayoutView="100" workbookViewId="0">
      <selection activeCell="AZ13" sqref="AZ13"/>
    </sheetView>
  </sheetViews>
  <sheetFormatPr defaultColWidth="10.140625" defaultRowHeight="12.75"/>
  <cols>
    <col min="1" max="51" width="2.85546875" style="65" customWidth="1"/>
    <col min="52" max="255" width="2.85546875" style="60" customWidth="1"/>
    <col min="256" max="16384" width="10.140625" style="60"/>
  </cols>
  <sheetData>
    <row r="1" spans="1:51" ht="12.75" customHeight="1">
      <c r="A1" s="199"/>
      <c r="B1" s="199"/>
      <c r="C1" s="199"/>
      <c r="D1" s="199"/>
      <c r="E1" s="199"/>
      <c r="F1" s="199"/>
      <c r="G1" s="58"/>
      <c r="H1" s="59" t="s">
        <v>9</v>
      </c>
      <c r="I1" s="59"/>
      <c r="J1" s="59"/>
      <c r="K1" s="200" t="s">
        <v>9</v>
      </c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  <c r="AY1" s="200"/>
    </row>
    <row r="2" spans="1:51" ht="12.75" customHeight="1">
      <c r="A2" s="199"/>
      <c r="B2" s="199"/>
      <c r="C2" s="199"/>
      <c r="D2" s="199"/>
      <c r="E2" s="199"/>
      <c r="F2" s="199"/>
      <c r="G2" s="58"/>
      <c r="H2" s="59"/>
      <c r="I2" s="59"/>
      <c r="J2" s="59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1"/>
    </row>
    <row r="3" spans="1:51" ht="12.75" customHeight="1">
      <c r="A3" s="202"/>
      <c r="B3" s="202"/>
      <c r="C3" s="202"/>
      <c r="D3" s="202"/>
      <c r="E3" s="202"/>
      <c r="F3" s="202"/>
      <c r="G3" s="61"/>
      <c r="H3" s="59"/>
      <c r="I3" s="59"/>
      <c r="J3" s="59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</row>
    <row r="4" spans="1:51" ht="12.75" customHeight="1">
      <c r="A4" s="202"/>
      <c r="B4" s="202"/>
      <c r="C4" s="202"/>
      <c r="D4" s="202"/>
      <c r="E4" s="202"/>
      <c r="F4" s="202"/>
      <c r="G4" s="61"/>
      <c r="H4" s="59"/>
      <c r="I4" s="59"/>
      <c r="J4" s="59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  <c r="AA4" s="201"/>
      <c r="AB4" s="201"/>
      <c r="AC4" s="201"/>
      <c r="AD4" s="201"/>
      <c r="AE4" s="201"/>
      <c r="AF4" s="201"/>
      <c r="AG4" s="201"/>
      <c r="AH4" s="201"/>
      <c r="AI4" s="201"/>
      <c r="AJ4" s="201"/>
      <c r="AK4" s="201"/>
      <c r="AL4" s="201"/>
      <c r="AM4" s="201"/>
      <c r="AN4" s="201"/>
      <c r="AO4" s="201"/>
      <c r="AP4" s="201"/>
      <c r="AQ4" s="201"/>
      <c r="AR4" s="201"/>
      <c r="AS4" s="201"/>
      <c r="AT4" s="201"/>
      <c r="AU4" s="201"/>
      <c r="AV4" s="201"/>
      <c r="AW4" s="201"/>
      <c r="AX4" s="201"/>
      <c r="AY4" s="201"/>
    </row>
    <row r="5" spans="1:51">
      <c r="A5" s="62"/>
      <c r="B5" s="62"/>
      <c r="C5" s="62"/>
      <c r="D5" s="63"/>
      <c r="E5" s="63"/>
      <c r="F5" s="63"/>
      <c r="G5" s="63"/>
      <c r="H5" s="63"/>
      <c r="I5" s="63"/>
      <c r="J5" s="63"/>
      <c r="K5" s="63"/>
      <c r="L5" s="63"/>
      <c r="M5" s="64"/>
      <c r="N5" s="63"/>
      <c r="O5" s="63"/>
      <c r="P5" s="63"/>
      <c r="Q5" s="63"/>
      <c r="R5" s="64"/>
      <c r="S5" s="63"/>
      <c r="T5" s="63"/>
      <c r="U5" s="63"/>
      <c r="V5" s="63"/>
      <c r="W5" s="63"/>
      <c r="X5" s="63"/>
      <c r="Y5" s="63"/>
      <c r="Z5" s="63"/>
      <c r="AA5" s="64"/>
      <c r="AB5" s="63"/>
      <c r="AC5" s="63"/>
      <c r="AD5" s="63"/>
      <c r="AE5" s="63"/>
      <c r="AF5" s="63"/>
      <c r="AG5" s="63"/>
      <c r="AH5" s="64"/>
      <c r="AI5" s="63"/>
      <c r="AJ5" s="63"/>
      <c r="AK5" s="63"/>
      <c r="AL5" s="63"/>
      <c r="AM5" s="63"/>
      <c r="AN5" s="63"/>
      <c r="AO5" s="64"/>
      <c r="AP5" s="64"/>
      <c r="AQ5" s="63"/>
      <c r="AR5" s="63"/>
      <c r="AS5" s="63"/>
      <c r="AT5" s="63"/>
      <c r="AU5" s="63"/>
      <c r="AV5" s="64"/>
      <c r="AW5" s="63"/>
      <c r="AX5" s="64"/>
      <c r="AY5" s="64"/>
    </row>
    <row r="6" spans="1:51">
      <c r="A6" s="203" t="s">
        <v>10</v>
      </c>
      <c r="B6" s="203"/>
      <c r="C6" s="205" t="s">
        <v>11</v>
      </c>
      <c r="D6" s="205"/>
      <c r="E6" s="205"/>
      <c r="F6" s="205"/>
      <c r="G6" s="205"/>
      <c r="H6" s="205"/>
      <c r="I6" s="205"/>
      <c r="J6" s="203" t="s">
        <v>12</v>
      </c>
      <c r="K6" s="203"/>
      <c r="L6" s="203"/>
      <c r="M6" s="203"/>
      <c r="N6" s="205" t="s">
        <v>13</v>
      </c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3" t="s">
        <v>14</v>
      </c>
      <c r="AC6" s="203"/>
      <c r="AD6" s="203"/>
      <c r="AE6" s="203"/>
      <c r="AF6" s="203"/>
      <c r="AG6" s="203"/>
      <c r="AH6" s="203"/>
      <c r="AI6" s="203" t="s">
        <v>15</v>
      </c>
      <c r="AJ6" s="203"/>
      <c r="AK6" s="203"/>
      <c r="AL6" s="203"/>
      <c r="AM6" s="203"/>
      <c r="AN6" s="203" t="s">
        <v>16</v>
      </c>
      <c r="AO6" s="203"/>
      <c r="AP6" s="203"/>
      <c r="AQ6" s="203"/>
      <c r="AR6" s="203"/>
      <c r="AS6" s="203"/>
      <c r="AT6" s="203"/>
      <c r="AU6" s="203" t="s">
        <v>17</v>
      </c>
      <c r="AV6" s="203"/>
      <c r="AW6" s="203"/>
      <c r="AX6" s="203"/>
      <c r="AY6" s="203"/>
    </row>
    <row r="7" spans="1:51" ht="33" customHeight="1">
      <c r="A7" s="204"/>
      <c r="B7" s="204"/>
      <c r="C7" s="206"/>
      <c r="D7" s="206"/>
      <c r="E7" s="206"/>
      <c r="F7" s="206"/>
      <c r="G7" s="206"/>
      <c r="H7" s="206"/>
      <c r="I7" s="206"/>
      <c r="J7" s="204"/>
      <c r="K7" s="204"/>
      <c r="L7" s="204"/>
      <c r="M7" s="204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4"/>
      <c r="AC7" s="204"/>
      <c r="AD7" s="204"/>
      <c r="AE7" s="204"/>
      <c r="AF7" s="204"/>
      <c r="AG7" s="204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  <c r="AU7" s="204"/>
      <c r="AV7" s="204"/>
      <c r="AW7" s="204"/>
      <c r="AX7" s="204"/>
      <c r="AY7" s="204"/>
    </row>
    <row r="8" spans="1:51" ht="12.75" customHeight="1">
      <c r="A8" s="207">
        <v>1</v>
      </c>
      <c r="B8" s="207"/>
      <c r="C8" s="208" t="s">
        <v>18</v>
      </c>
      <c r="D8" s="208"/>
      <c r="E8" s="208"/>
      <c r="F8" s="208"/>
      <c r="G8" s="208"/>
      <c r="H8" s="208"/>
      <c r="I8" s="208"/>
      <c r="J8" s="209">
        <v>45892</v>
      </c>
      <c r="K8" s="209"/>
      <c r="L8" s="209"/>
      <c r="M8" s="209"/>
      <c r="N8" s="208" t="s">
        <v>19</v>
      </c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 t="s">
        <v>20</v>
      </c>
      <c r="AC8" s="208"/>
      <c r="AD8" s="208"/>
      <c r="AE8" s="208"/>
      <c r="AF8" s="208"/>
      <c r="AG8" s="208"/>
      <c r="AH8" s="208"/>
      <c r="AI8" s="209" t="s">
        <v>21</v>
      </c>
      <c r="AJ8" s="209"/>
      <c r="AK8" s="209"/>
      <c r="AL8" s="209"/>
      <c r="AM8" s="209"/>
      <c r="AN8" s="208" t="s">
        <v>20</v>
      </c>
      <c r="AO8" s="208"/>
      <c r="AP8" s="208"/>
      <c r="AQ8" s="208"/>
      <c r="AR8" s="208"/>
      <c r="AS8" s="208"/>
      <c r="AT8" s="208"/>
      <c r="AU8" s="209" t="s">
        <v>21</v>
      </c>
      <c r="AV8" s="209"/>
      <c r="AW8" s="209"/>
      <c r="AX8" s="209"/>
      <c r="AY8" s="209"/>
    </row>
    <row r="9" spans="1:51" ht="25.5" customHeight="1">
      <c r="A9" s="207">
        <v>1.1000000000000001</v>
      </c>
      <c r="B9" s="207"/>
      <c r="C9" s="210" t="s">
        <v>18</v>
      </c>
      <c r="D9" s="211"/>
      <c r="E9" s="211"/>
      <c r="F9" s="211"/>
      <c r="G9" s="211"/>
      <c r="H9" s="211"/>
      <c r="I9" s="212"/>
      <c r="J9" s="209">
        <v>45973</v>
      </c>
      <c r="K9" s="209"/>
      <c r="L9" s="209"/>
      <c r="M9" s="209"/>
      <c r="N9" s="208" t="s">
        <v>22</v>
      </c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 t="s">
        <v>20</v>
      </c>
      <c r="AC9" s="208"/>
      <c r="AD9" s="208"/>
      <c r="AE9" s="208"/>
      <c r="AF9" s="208"/>
      <c r="AG9" s="208"/>
      <c r="AH9" s="208"/>
      <c r="AI9" s="209" t="s">
        <v>21</v>
      </c>
      <c r="AJ9" s="209"/>
      <c r="AK9" s="209"/>
      <c r="AL9" s="209"/>
      <c r="AM9" s="209"/>
      <c r="AN9" s="208" t="s">
        <v>20</v>
      </c>
      <c r="AO9" s="208"/>
      <c r="AP9" s="208"/>
      <c r="AQ9" s="208"/>
      <c r="AR9" s="208"/>
      <c r="AS9" s="208"/>
      <c r="AT9" s="208"/>
      <c r="AU9" s="209" t="s">
        <v>21</v>
      </c>
      <c r="AV9" s="209"/>
      <c r="AW9" s="209"/>
      <c r="AX9" s="209"/>
      <c r="AY9" s="209"/>
    </row>
    <row r="10" spans="1:51" ht="17.25" customHeight="1">
      <c r="A10" s="228">
        <v>1.2</v>
      </c>
      <c r="B10" s="229"/>
      <c r="C10" s="236" t="s">
        <v>18</v>
      </c>
      <c r="D10" s="237"/>
      <c r="E10" s="237"/>
      <c r="F10" s="237"/>
      <c r="G10" s="237"/>
      <c r="H10" s="237"/>
      <c r="I10" s="238"/>
      <c r="J10" s="213">
        <v>45974</v>
      </c>
      <c r="K10" s="213"/>
      <c r="L10" s="213"/>
      <c r="M10" s="214"/>
      <c r="N10" s="210" t="s">
        <v>23</v>
      </c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2"/>
      <c r="AB10" s="220" t="s">
        <v>20</v>
      </c>
      <c r="AC10" s="221"/>
      <c r="AD10" s="221"/>
      <c r="AE10" s="221"/>
      <c r="AF10" s="221"/>
      <c r="AG10" s="221"/>
      <c r="AH10" s="222"/>
      <c r="AI10" s="226" t="s">
        <v>21</v>
      </c>
      <c r="AJ10" s="213"/>
      <c r="AK10" s="213"/>
      <c r="AL10" s="213"/>
      <c r="AM10" s="214"/>
      <c r="AN10" s="220" t="s">
        <v>20</v>
      </c>
      <c r="AO10" s="221"/>
      <c r="AP10" s="221"/>
      <c r="AQ10" s="221"/>
      <c r="AR10" s="221"/>
      <c r="AS10" s="221"/>
      <c r="AT10" s="222"/>
      <c r="AU10" s="226" t="s">
        <v>21</v>
      </c>
      <c r="AV10" s="213"/>
      <c r="AW10" s="213"/>
      <c r="AX10" s="213"/>
      <c r="AY10" s="214"/>
    </row>
    <row r="11" spans="1:51" ht="12.75" customHeight="1">
      <c r="A11" s="230"/>
      <c r="B11" s="231"/>
      <c r="C11" s="233" t="s">
        <v>24</v>
      </c>
      <c r="D11" s="234"/>
      <c r="E11" s="234"/>
      <c r="F11" s="234"/>
      <c r="G11" s="234"/>
      <c r="H11" s="234"/>
      <c r="I11" s="235"/>
      <c r="J11" s="215"/>
      <c r="K11" s="215"/>
      <c r="L11" s="215"/>
      <c r="M11" s="216"/>
      <c r="N11" s="217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9"/>
      <c r="AB11" s="223"/>
      <c r="AC11" s="224"/>
      <c r="AD11" s="224"/>
      <c r="AE11" s="224"/>
      <c r="AF11" s="224"/>
      <c r="AG11" s="224"/>
      <c r="AH11" s="225"/>
      <c r="AI11" s="227"/>
      <c r="AJ11" s="215"/>
      <c r="AK11" s="215"/>
      <c r="AL11" s="215"/>
      <c r="AM11" s="216"/>
      <c r="AN11" s="223"/>
      <c r="AO11" s="224"/>
      <c r="AP11" s="224"/>
      <c r="AQ11" s="224"/>
      <c r="AR11" s="224"/>
      <c r="AS11" s="224"/>
      <c r="AT11" s="225"/>
      <c r="AU11" s="227"/>
      <c r="AV11" s="215"/>
      <c r="AW11" s="215"/>
      <c r="AX11" s="215"/>
      <c r="AY11" s="216"/>
    </row>
    <row r="12" spans="1:51">
      <c r="A12" s="207">
        <v>1.3</v>
      </c>
      <c r="B12" s="207"/>
      <c r="C12" s="232" t="s">
        <v>18</v>
      </c>
      <c r="D12" s="232"/>
      <c r="E12" s="232"/>
      <c r="F12" s="232"/>
      <c r="G12" s="232"/>
      <c r="H12" s="232"/>
      <c r="I12" s="232"/>
      <c r="J12" s="209">
        <v>45976</v>
      </c>
      <c r="K12" s="209"/>
      <c r="L12" s="209"/>
      <c r="M12" s="209"/>
      <c r="N12" s="208" t="s">
        <v>25</v>
      </c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 t="s">
        <v>20</v>
      </c>
      <c r="AC12" s="208"/>
      <c r="AD12" s="208"/>
      <c r="AE12" s="208"/>
      <c r="AF12" s="208"/>
      <c r="AG12" s="208"/>
      <c r="AH12" s="208"/>
      <c r="AI12" s="209" t="s">
        <v>21</v>
      </c>
      <c r="AJ12" s="209"/>
      <c r="AK12" s="209"/>
      <c r="AL12" s="209"/>
      <c r="AM12" s="209"/>
      <c r="AN12" s="208" t="s">
        <v>20</v>
      </c>
      <c r="AO12" s="208"/>
      <c r="AP12" s="208"/>
      <c r="AQ12" s="208"/>
      <c r="AR12" s="208"/>
      <c r="AS12" s="208"/>
      <c r="AT12" s="208"/>
      <c r="AU12" s="209" t="s">
        <v>21</v>
      </c>
      <c r="AV12" s="209"/>
      <c r="AW12" s="209"/>
      <c r="AX12" s="209"/>
      <c r="AY12" s="209"/>
    </row>
    <row r="13" spans="1:51" ht="25.5" customHeight="1">
      <c r="A13" s="207">
        <v>1.4</v>
      </c>
      <c r="B13" s="207"/>
      <c r="C13" s="208" t="s">
        <v>18</v>
      </c>
      <c r="D13" s="208"/>
      <c r="E13" s="208"/>
      <c r="F13" s="208"/>
      <c r="G13" s="208"/>
      <c r="H13" s="208"/>
      <c r="I13" s="208"/>
      <c r="J13" s="209">
        <v>45978</v>
      </c>
      <c r="K13" s="209"/>
      <c r="L13" s="209"/>
      <c r="M13" s="209"/>
      <c r="N13" s="208" t="s">
        <v>26</v>
      </c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 t="s">
        <v>20</v>
      </c>
      <c r="AC13" s="208"/>
      <c r="AD13" s="208"/>
      <c r="AE13" s="208"/>
      <c r="AF13" s="208"/>
      <c r="AG13" s="208"/>
      <c r="AH13" s="208"/>
      <c r="AI13" s="209" t="s">
        <v>21</v>
      </c>
      <c r="AJ13" s="209"/>
      <c r="AK13" s="209"/>
      <c r="AL13" s="209"/>
      <c r="AM13" s="209"/>
      <c r="AN13" s="208" t="s">
        <v>20</v>
      </c>
      <c r="AO13" s="208"/>
      <c r="AP13" s="208"/>
      <c r="AQ13" s="208"/>
      <c r="AR13" s="208"/>
      <c r="AS13" s="208"/>
      <c r="AT13" s="208"/>
      <c r="AU13" s="209" t="s">
        <v>21</v>
      </c>
      <c r="AV13" s="209"/>
      <c r="AW13" s="209"/>
      <c r="AX13" s="209"/>
      <c r="AY13" s="209"/>
    </row>
    <row r="14" spans="1:51">
      <c r="A14" s="207"/>
      <c r="B14" s="207"/>
      <c r="C14" s="208"/>
      <c r="D14" s="208"/>
      <c r="E14" s="208"/>
      <c r="F14" s="208"/>
      <c r="G14" s="208"/>
      <c r="H14" s="208"/>
      <c r="I14" s="208"/>
      <c r="J14" s="209"/>
      <c r="K14" s="209"/>
      <c r="L14" s="209"/>
      <c r="M14" s="209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  <c r="AB14" s="208"/>
      <c r="AC14" s="208"/>
      <c r="AD14" s="208"/>
      <c r="AE14" s="208"/>
      <c r="AF14" s="208"/>
      <c r="AG14" s="208"/>
      <c r="AH14" s="208"/>
      <c r="AI14" s="209"/>
      <c r="AJ14" s="209"/>
      <c r="AK14" s="209"/>
      <c r="AL14" s="209"/>
      <c r="AM14" s="209"/>
      <c r="AN14" s="208"/>
      <c r="AO14" s="208"/>
      <c r="AP14" s="208"/>
      <c r="AQ14" s="208"/>
      <c r="AR14" s="208"/>
      <c r="AS14" s="208"/>
      <c r="AT14" s="208"/>
      <c r="AU14" s="209"/>
      <c r="AV14" s="209"/>
      <c r="AW14" s="209"/>
      <c r="AX14" s="209"/>
      <c r="AY14" s="209"/>
    </row>
    <row r="15" spans="1:51">
      <c r="A15" s="207"/>
      <c r="B15" s="207"/>
      <c r="C15" s="208"/>
      <c r="D15" s="208"/>
      <c r="E15" s="208"/>
      <c r="F15" s="208"/>
      <c r="G15" s="208"/>
      <c r="H15" s="208"/>
      <c r="I15" s="208"/>
      <c r="J15" s="209"/>
      <c r="K15" s="209"/>
      <c r="L15" s="209"/>
      <c r="M15" s="209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9"/>
      <c r="AJ15" s="209"/>
      <c r="AK15" s="209"/>
      <c r="AL15" s="209"/>
      <c r="AM15" s="209"/>
      <c r="AN15" s="208"/>
      <c r="AO15" s="208"/>
      <c r="AP15" s="208"/>
      <c r="AQ15" s="208"/>
      <c r="AR15" s="208"/>
      <c r="AS15" s="208"/>
      <c r="AT15" s="208"/>
      <c r="AU15" s="209"/>
      <c r="AV15" s="209"/>
      <c r="AW15" s="209"/>
      <c r="AX15" s="209"/>
      <c r="AY15" s="209"/>
    </row>
    <row r="16" spans="1:51">
      <c r="A16" s="207"/>
      <c r="B16" s="207"/>
      <c r="C16" s="208"/>
      <c r="D16" s="208"/>
      <c r="E16" s="208"/>
      <c r="F16" s="208"/>
      <c r="G16" s="208"/>
      <c r="H16" s="208"/>
      <c r="I16" s="208"/>
      <c r="J16" s="209"/>
      <c r="K16" s="209"/>
      <c r="L16" s="209"/>
      <c r="M16" s="209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9"/>
      <c r="AJ16" s="209"/>
      <c r="AK16" s="209"/>
      <c r="AL16" s="209"/>
      <c r="AM16" s="209"/>
      <c r="AN16" s="208"/>
      <c r="AO16" s="208"/>
      <c r="AP16" s="208"/>
      <c r="AQ16" s="208"/>
      <c r="AR16" s="208"/>
      <c r="AS16" s="208"/>
      <c r="AT16" s="208"/>
      <c r="AU16" s="209"/>
      <c r="AV16" s="209"/>
      <c r="AW16" s="209"/>
      <c r="AX16" s="209"/>
      <c r="AY16" s="209"/>
    </row>
    <row r="17" spans="1:51">
      <c r="A17" s="207"/>
      <c r="B17" s="207"/>
      <c r="C17" s="208"/>
      <c r="D17" s="208"/>
      <c r="E17" s="208"/>
      <c r="F17" s="208"/>
      <c r="G17" s="208"/>
      <c r="H17" s="208"/>
      <c r="I17" s="208"/>
      <c r="J17" s="209"/>
      <c r="K17" s="209"/>
      <c r="L17" s="209"/>
      <c r="M17" s="209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9"/>
      <c r="AJ17" s="209"/>
      <c r="AK17" s="209"/>
      <c r="AL17" s="209"/>
      <c r="AM17" s="209"/>
      <c r="AN17" s="208"/>
      <c r="AO17" s="208"/>
      <c r="AP17" s="208"/>
      <c r="AQ17" s="208"/>
      <c r="AR17" s="208"/>
      <c r="AS17" s="208"/>
      <c r="AT17" s="208"/>
      <c r="AU17" s="209"/>
      <c r="AV17" s="209"/>
      <c r="AW17" s="209"/>
      <c r="AX17" s="209"/>
      <c r="AY17" s="209"/>
    </row>
    <row r="18" spans="1:51">
      <c r="A18" s="207"/>
      <c r="B18" s="207"/>
      <c r="C18" s="208"/>
      <c r="D18" s="208"/>
      <c r="E18" s="208"/>
      <c r="F18" s="208"/>
      <c r="G18" s="208"/>
      <c r="H18" s="208"/>
      <c r="I18" s="208"/>
      <c r="J18" s="209"/>
      <c r="K18" s="209"/>
      <c r="L18" s="209"/>
      <c r="M18" s="209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9"/>
      <c r="AJ18" s="209"/>
      <c r="AK18" s="209"/>
      <c r="AL18" s="209"/>
      <c r="AM18" s="209"/>
      <c r="AN18" s="208"/>
      <c r="AO18" s="208"/>
      <c r="AP18" s="208"/>
      <c r="AQ18" s="208"/>
      <c r="AR18" s="208"/>
      <c r="AS18" s="208"/>
      <c r="AT18" s="208"/>
      <c r="AU18" s="209"/>
      <c r="AV18" s="209"/>
      <c r="AW18" s="209"/>
      <c r="AX18" s="209"/>
      <c r="AY18" s="209"/>
    </row>
    <row r="19" spans="1:51">
      <c r="A19" s="207"/>
      <c r="B19" s="207"/>
      <c r="C19" s="208"/>
      <c r="D19" s="208"/>
      <c r="E19" s="208"/>
      <c r="F19" s="208"/>
      <c r="G19" s="208"/>
      <c r="H19" s="208"/>
      <c r="I19" s="208"/>
      <c r="J19" s="209"/>
      <c r="K19" s="209"/>
      <c r="L19" s="209"/>
      <c r="M19" s="209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9"/>
      <c r="AJ19" s="209"/>
      <c r="AK19" s="209"/>
      <c r="AL19" s="209"/>
      <c r="AM19" s="209"/>
      <c r="AN19" s="208"/>
      <c r="AO19" s="208"/>
      <c r="AP19" s="208"/>
      <c r="AQ19" s="208"/>
      <c r="AR19" s="208"/>
      <c r="AS19" s="208"/>
      <c r="AT19" s="208"/>
      <c r="AU19" s="209"/>
      <c r="AV19" s="209"/>
      <c r="AW19" s="209"/>
      <c r="AX19" s="209"/>
      <c r="AY19" s="209"/>
    </row>
    <row r="20" spans="1:51">
      <c r="A20" s="207"/>
      <c r="B20" s="207"/>
      <c r="C20" s="208"/>
      <c r="D20" s="208"/>
      <c r="E20" s="208"/>
      <c r="F20" s="208"/>
      <c r="G20" s="208"/>
      <c r="H20" s="208"/>
      <c r="I20" s="208"/>
      <c r="J20" s="209"/>
      <c r="K20" s="209"/>
      <c r="L20" s="209"/>
      <c r="M20" s="209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9"/>
      <c r="AJ20" s="209"/>
      <c r="AK20" s="209"/>
      <c r="AL20" s="209"/>
      <c r="AM20" s="209"/>
      <c r="AN20" s="208"/>
      <c r="AO20" s="208"/>
      <c r="AP20" s="208"/>
      <c r="AQ20" s="208"/>
      <c r="AR20" s="208"/>
      <c r="AS20" s="208"/>
      <c r="AT20" s="208"/>
      <c r="AU20" s="209"/>
      <c r="AV20" s="209"/>
      <c r="AW20" s="209"/>
      <c r="AX20" s="209"/>
      <c r="AY20" s="209"/>
    </row>
    <row r="21" spans="1:51">
      <c r="A21" s="207"/>
      <c r="B21" s="207"/>
      <c r="C21" s="208"/>
      <c r="D21" s="208"/>
      <c r="E21" s="208"/>
      <c r="F21" s="208"/>
      <c r="G21" s="208"/>
      <c r="H21" s="208"/>
      <c r="I21" s="208"/>
      <c r="J21" s="209"/>
      <c r="K21" s="209"/>
      <c r="L21" s="209"/>
      <c r="M21" s="209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9"/>
      <c r="AJ21" s="209"/>
      <c r="AK21" s="209"/>
      <c r="AL21" s="209"/>
      <c r="AM21" s="209"/>
      <c r="AN21" s="208"/>
      <c r="AO21" s="208"/>
      <c r="AP21" s="208"/>
      <c r="AQ21" s="208"/>
      <c r="AR21" s="208"/>
      <c r="AS21" s="208"/>
      <c r="AT21" s="208"/>
      <c r="AU21" s="209"/>
      <c r="AV21" s="209"/>
      <c r="AW21" s="209"/>
      <c r="AX21" s="209"/>
      <c r="AY21" s="209"/>
    </row>
    <row r="22" spans="1:51">
      <c r="A22" s="207"/>
      <c r="B22" s="207"/>
      <c r="C22" s="208"/>
      <c r="D22" s="208"/>
      <c r="E22" s="208"/>
      <c r="F22" s="208"/>
      <c r="G22" s="208"/>
      <c r="H22" s="208"/>
      <c r="I22" s="208"/>
      <c r="J22" s="209"/>
      <c r="K22" s="209"/>
      <c r="L22" s="209"/>
      <c r="M22" s="209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9"/>
      <c r="AJ22" s="209"/>
      <c r="AK22" s="209"/>
      <c r="AL22" s="209"/>
      <c r="AM22" s="209"/>
      <c r="AN22" s="208"/>
      <c r="AO22" s="208"/>
      <c r="AP22" s="208"/>
      <c r="AQ22" s="208"/>
      <c r="AR22" s="208"/>
      <c r="AS22" s="208"/>
      <c r="AT22" s="208"/>
      <c r="AU22" s="209"/>
      <c r="AV22" s="209"/>
      <c r="AW22" s="209"/>
      <c r="AX22" s="209"/>
      <c r="AY22" s="209"/>
    </row>
    <row r="23" spans="1:51">
      <c r="A23" s="207"/>
      <c r="B23" s="207"/>
      <c r="C23" s="208"/>
      <c r="D23" s="208"/>
      <c r="E23" s="208"/>
      <c r="F23" s="208"/>
      <c r="G23" s="208"/>
      <c r="H23" s="208"/>
      <c r="I23" s="208"/>
      <c r="J23" s="209"/>
      <c r="K23" s="209"/>
      <c r="L23" s="209"/>
      <c r="M23" s="209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9"/>
      <c r="AJ23" s="209"/>
      <c r="AK23" s="209"/>
      <c r="AL23" s="209"/>
      <c r="AM23" s="209"/>
      <c r="AN23" s="208"/>
      <c r="AO23" s="208"/>
      <c r="AP23" s="208"/>
      <c r="AQ23" s="208"/>
      <c r="AR23" s="208"/>
      <c r="AS23" s="208"/>
      <c r="AT23" s="208"/>
      <c r="AU23" s="209"/>
      <c r="AV23" s="209"/>
      <c r="AW23" s="209"/>
      <c r="AX23" s="209"/>
      <c r="AY23" s="209"/>
    </row>
    <row r="24" spans="1:51">
      <c r="A24" s="207"/>
      <c r="B24" s="207"/>
      <c r="C24" s="208"/>
      <c r="D24" s="208"/>
      <c r="E24" s="208"/>
      <c r="F24" s="208"/>
      <c r="G24" s="208"/>
      <c r="H24" s="208"/>
      <c r="I24" s="208"/>
      <c r="J24" s="209"/>
      <c r="K24" s="209"/>
      <c r="L24" s="209"/>
      <c r="M24" s="209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9"/>
      <c r="AJ24" s="209"/>
      <c r="AK24" s="209"/>
      <c r="AL24" s="209"/>
      <c r="AM24" s="209"/>
      <c r="AN24" s="208"/>
      <c r="AO24" s="208"/>
      <c r="AP24" s="208"/>
      <c r="AQ24" s="208"/>
      <c r="AR24" s="208"/>
      <c r="AS24" s="208"/>
      <c r="AT24" s="208"/>
      <c r="AU24" s="239"/>
      <c r="AV24" s="240"/>
      <c r="AW24" s="240"/>
      <c r="AX24" s="240"/>
      <c r="AY24" s="241"/>
    </row>
    <row r="25" spans="1:51">
      <c r="A25" s="207"/>
      <c r="B25" s="207"/>
      <c r="C25" s="208"/>
      <c r="D25" s="208"/>
      <c r="E25" s="208"/>
      <c r="F25" s="208"/>
      <c r="G25" s="208"/>
      <c r="H25" s="208"/>
      <c r="I25" s="208"/>
      <c r="J25" s="209"/>
      <c r="K25" s="209"/>
      <c r="L25" s="209"/>
      <c r="M25" s="209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9"/>
      <c r="AJ25" s="209"/>
      <c r="AK25" s="209"/>
      <c r="AL25" s="209"/>
      <c r="AM25" s="209"/>
      <c r="AN25" s="208"/>
      <c r="AO25" s="208"/>
      <c r="AP25" s="208"/>
      <c r="AQ25" s="208"/>
      <c r="AR25" s="208"/>
      <c r="AS25" s="208"/>
      <c r="AT25" s="208"/>
      <c r="AU25" s="239"/>
      <c r="AV25" s="240"/>
      <c r="AW25" s="240"/>
      <c r="AX25" s="240"/>
      <c r="AY25" s="241"/>
    </row>
    <row r="26" spans="1:51">
      <c r="A26" s="207"/>
      <c r="B26" s="207"/>
      <c r="C26" s="208"/>
      <c r="D26" s="208"/>
      <c r="E26" s="208"/>
      <c r="F26" s="208"/>
      <c r="G26" s="208"/>
      <c r="H26" s="208"/>
      <c r="I26" s="208"/>
      <c r="J26" s="209"/>
      <c r="K26" s="209"/>
      <c r="L26" s="209"/>
      <c r="M26" s="209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9"/>
      <c r="AJ26" s="209"/>
      <c r="AK26" s="209"/>
      <c r="AL26" s="209"/>
      <c r="AM26" s="209"/>
      <c r="AN26" s="208"/>
      <c r="AO26" s="208"/>
      <c r="AP26" s="208"/>
      <c r="AQ26" s="208"/>
      <c r="AR26" s="208"/>
      <c r="AS26" s="208"/>
      <c r="AT26" s="208"/>
      <c r="AU26" s="209"/>
      <c r="AV26" s="209"/>
      <c r="AW26" s="209"/>
      <c r="AX26" s="209"/>
      <c r="AY26" s="209"/>
    </row>
    <row r="27" spans="1:51">
      <c r="A27" s="207"/>
      <c r="B27" s="207"/>
      <c r="C27" s="208"/>
      <c r="D27" s="208"/>
      <c r="E27" s="208"/>
      <c r="F27" s="208"/>
      <c r="G27" s="208"/>
      <c r="H27" s="208"/>
      <c r="I27" s="208"/>
      <c r="J27" s="209"/>
      <c r="K27" s="209"/>
      <c r="L27" s="209"/>
      <c r="M27" s="209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9"/>
      <c r="AJ27" s="209"/>
      <c r="AK27" s="209"/>
      <c r="AL27" s="209"/>
      <c r="AM27" s="209"/>
      <c r="AN27" s="208"/>
      <c r="AO27" s="208"/>
      <c r="AP27" s="208"/>
      <c r="AQ27" s="208"/>
      <c r="AR27" s="208"/>
      <c r="AS27" s="208"/>
      <c r="AT27" s="208"/>
      <c r="AU27" s="209"/>
      <c r="AV27" s="209"/>
      <c r="AW27" s="209"/>
      <c r="AX27" s="209"/>
      <c r="AY27" s="209"/>
    </row>
    <row r="28" spans="1:51">
      <c r="A28" s="207"/>
      <c r="B28" s="207"/>
      <c r="C28" s="208"/>
      <c r="D28" s="208"/>
      <c r="E28" s="208"/>
      <c r="F28" s="208"/>
      <c r="G28" s="208"/>
      <c r="H28" s="208"/>
      <c r="I28" s="208"/>
      <c r="J28" s="209"/>
      <c r="K28" s="209"/>
      <c r="L28" s="209"/>
      <c r="M28" s="209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9"/>
      <c r="AJ28" s="209"/>
      <c r="AK28" s="209"/>
      <c r="AL28" s="209"/>
      <c r="AM28" s="209"/>
      <c r="AN28" s="208"/>
      <c r="AO28" s="208"/>
      <c r="AP28" s="208"/>
      <c r="AQ28" s="208"/>
      <c r="AR28" s="208"/>
      <c r="AS28" s="208"/>
      <c r="AT28" s="208"/>
      <c r="AU28" s="209"/>
      <c r="AV28" s="209"/>
      <c r="AW28" s="209"/>
      <c r="AX28" s="209"/>
      <c r="AY28" s="209"/>
    </row>
    <row r="29" spans="1:51">
      <c r="A29" s="207"/>
      <c r="B29" s="207"/>
      <c r="C29" s="208"/>
      <c r="D29" s="208"/>
      <c r="E29" s="208"/>
      <c r="F29" s="208"/>
      <c r="G29" s="208"/>
      <c r="H29" s="208"/>
      <c r="I29" s="208"/>
      <c r="J29" s="209"/>
      <c r="K29" s="209"/>
      <c r="L29" s="209"/>
      <c r="M29" s="209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9"/>
      <c r="AJ29" s="209"/>
      <c r="AK29" s="209"/>
      <c r="AL29" s="209"/>
      <c r="AM29" s="209"/>
      <c r="AN29" s="208"/>
      <c r="AO29" s="208"/>
      <c r="AP29" s="208"/>
      <c r="AQ29" s="208"/>
      <c r="AR29" s="208"/>
      <c r="AS29" s="208"/>
      <c r="AT29" s="208"/>
      <c r="AU29" s="209"/>
      <c r="AV29" s="209"/>
      <c r="AW29" s="209"/>
      <c r="AX29" s="209"/>
      <c r="AY29" s="209"/>
    </row>
    <row r="30" spans="1:51">
      <c r="A30" s="207"/>
      <c r="B30" s="207"/>
      <c r="C30" s="208"/>
      <c r="D30" s="208"/>
      <c r="E30" s="208"/>
      <c r="F30" s="208"/>
      <c r="G30" s="208"/>
      <c r="H30" s="208"/>
      <c r="I30" s="208"/>
      <c r="J30" s="209"/>
      <c r="K30" s="209"/>
      <c r="L30" s="209"/>
      <c r="M30" s="209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9"/>
      <c r="AJ30" s="209"/>
      <c r="AK30" s="209"/>
      <c r="AL30" s="209"/>
      <c r="AM30" s="209"/>
      <c r="AN30" s="208"/>
      <c r="AO30" s="208"/>
      <c r="AP30" s="208"/>
      <c r="AQ30" s="208"/>
      <c r="AR30" s="208"/>
      <c r="AS30" s="208"/>
      <c r="AT30" s="208"/>
      <c r="AU30" s="209"/>
      <c r="AV30" s="209"/>
      <c r="AW30" s="209"/>
      <c r="AX30" s="209"/>
      <c r="AY30" s="209"/>
    </row>
    <row r="31" spans="1:51">
      <c r="A31" s="207"/>
      <c r="B31" s="207"/>
      <c r="C31" s="208"/>
      <c r="D31" s="208"/>
      <c r="E31" s="208"/>
      <c r="F31" s="208"/>
      <c r="G31" s="208"/>
      <c r="H31" s="208"/>
      <c r="I31" s="208"/>
      <c r="J31" s="209"/>
      <c r="K31" s="209"/>
      <c r="L31" s="209"/>
      <c r="M31" s="209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9"/>
      <c r="AJ31" s="209"/>
      <c r="AK31" s="209"/>
      <c r="AL31" s="209"/>
      <c r="AM31" s="209"/>
      <c r="AN31" s="208"/>
      <c r="AO31" s="208"/>
      <c r="AP31" s="208"/>
      <c r="AQ31" s="208"/>
      <c r="AR31" s="208"/>
      <c r="AS31" s="208"/>
      <c r="AT31" s="208"/>
      <c r="AU31" s="209"/>
      <c r="AV31" s="209"/>
      <c r="AW31" s="209"/>
      <c r="AX31" s="209"/>
      <c r="AY31" s="209"/>
    </row>
    <row r="32" spans="1:51">
      <c r="C32" s="208"/>
      <c r="D32" s="208"/>
      <c r="E32" s="208"/>
      <c r="F32" s="208"/>
      <c r="G32" s="208"/>
      <c r="H32" s="208"/>
      <c r="I32" s="208"/>
    </row>
  </sheetData>
  <mergeCells count="198">
    <mergeCell ref="AN31:AT31"/>
    <mergeCell ref="AU31:AY31"/>
    <mergeCell ref="A31:B31"/>
    <mergeCell ref="C32:I32"/>
    <mergeCell ref="J31:M31"/>
    <mergeCell ref="N31:AA31"/>
    <mergeCell ref="AB31:AH31"/>
    <mergeCell ref="AI31:AM31"/>
    <mergeCell ref="AN29:AT29"/>
    <mergeCell ref="AU29:AY29"/>
    <mergeCell ref="A30:B30"/>
    <mergeCell ref="C31:I31"/>
    <mergeCell ref="J30:M30"/>
    <mergeCell ref="N30:AA30"/>
    <mergeCell ref="AB30:AH30"/>
    <mergeCell ref="AI30:AM30"/>
    <mergeCell ref="AN30:AT30"/>
    <mergeCell ref="AU30:AY30"/>
    <mergeCell ref="A29:B29"/>
    <mergeCell ref="C30:I30"/>
    <mergeCell ref="J29:M29"/>
    <mergeCell ref="N29:AA29"/>
    <mergeCell ref="AB29:AH29"/>
    <mergeCell ref="AI29:AM29"/>
    <mergeCell ref="A28:B28"/>
    <mergeCell ref="C29:I29"/>
    <mergeCell ref="J28:M28"/>
    <mergeCell ref="N28:AA28"/>
    <mergeCell ref="AB28:AH28"/>
    <mergeCell ref="AI28:AM28"/>
    <mergeCell ref="AN28:AT28"/>
    <mergeCell ref="AU28:AY28"/>
    <mergeCell ref="A27:B27"/>
    <mergeCell ref="C28:I28"/>
    <mergeCell ref="J27:M27"/>
    <mergeCell ref="N27:AA27"/>
    <mergeCell ref="AB27:AH27"/>
    <mergeCell ref="AI27:AM27"/>
    <mergeCell ref="A26:B26"/>
    <mergeCell ref="C27:I27"/>
    <mergeCell ref="J26:M26"/>
    <mergeCell ref="N26:AA26"/>
    <mergeCell ref="AB26:AH26"/>
    <mergeCell ref="AI26:AM26"/>
    <mergeCell ref="AN26:AT26"/>
    <mergeCell ref="AU26:AY26"/>
    <mergeCell ref="A25:B25"/>
    <mergeCell ref="C26:I26"/>
    <mergeCell ref="J25:M25"/>
    <mergeCell ref="N25:AA25"/>
    <mergeCell ref="AB25:AH25"/>
    <mergeCell ref="AI25:AM25"/>
    <mergeCell ref="AN27:AT27"/>
    <mergeCell ref="AU27:AY27"/>
    <mergeCell ref="A24:B24"/>
    <mergeCell ref="C25:I25"/>
    <mergeCell ref="J24:M24"/>
    <mergeCell ref="N24:AA24"/>
    <mergeCell ref="AB24:AH24"/>
    <mergeCell ref="AI24:AM24"/>
    <mergeCell ref="AN24:AT24"/>
    <mergeCell ref="AU24:AY24"/>
    <mergeCell ref="A23:B23"/>
    <mergeCell ref="C24:I24"/>
    <mergeCell ref="J23:M23"/>
    <mergeCell ref="N23:AA23"/>
    <mergeCell ref="AB23:AH23"/>
    <mergeCell ref="AI23:AM23"/>
    <mergeCell ref="AN25:AT25"/>
    <mergeCell ref="AU25:AY25"/>
    <mergeCell ref="A22:B22"/>
    <mergeCell ref="C23:I23"/>
    <mergeCell ref="J22:M22"/>
    <mergeCell ref="N22:AA22"/>
    <mergeCell ref="AB22:AH22"/>
    <mergeCell ref="AI22:AM22"/>
    <mergeCell ref="AN22:AT22"/>
    <mergeCell ref="AU22:AY22"/>
    <mergeCell ref="A21:B21"/>
    <mergeCell ref="C22:I22"/>
    <mergeCell ref="J21:M21"/>
    <mergeCell ref="N21:AA21"/>
    <mergeCell ref="AB21:AH21"/>
    <mergeCell ref="AI21:AM21"/>
    <mergeCell ref="AN23:AT23"/>
    <mergeCell ref="AU23:AY23"/>
    <mergeCell ref="A20:B20"/>
    <mergeCell ref="C21:I21"/>
    <mergeCell ref="J20:M20"/>
    <mergeCell ref="N20:AA20"/>
    <mergeCell ref="AB20:AH20"/>
    <mergeCell ref="AI20:AM20"/>
    <mergeCell ref="AN20:AT20"/>
    <mergeCell ref="AU20:AY20"/>
    <mergeCell ref="A19:B19"/>
    <mergeCell ref="C20:I20"/>
    <mergeCell ref="J19:M19"/>
    <mergeCell ref="N19:AA19"/>
    <mergeCell ref="AB19:AH19"/>
    <mergeCell ref="AI19:AM19"/>
    <mergeCell ref="AN21:AT21"/>
    <mergeCell ref="AU21:AY21"/>
    <mergeCell ref="A18:B18"/>
    <mergeCell ref="C19:I19"/>
    <mergeCell ref="J18:M18"/>
    <mergeCell ref="N18:AA18"/>
    <mergeCell ref="AB18:AH18"/>
    <mergeCell ref="AI18:AM18"/>
    <mergeCell ref="AN18:AT18"/>
    <mergeCell ref="AU18:AY18"/>
    <mergeCell ref="A17:B17"/>
    <mergeCell ref="C18:I18"/>
    <mergeCell ref="J17:M17"/>
    <mergeCell ref="N17:AA17"/>
    <mergeCell ref="AB17:AH17"/>
    <mergeCell ref="AI17:AM17"/>
    <mergeCell ref="AN19:AT19"/>
    <mergeCell ref="AU19:AY19"/>
    <mergeCell ref="A16:B16"/>
    <mergeCell ref="C17:I17"/>
    <mergeCell ref="J16:M16"/>
    <mergeCell ref="N16:AA16"/>
    <mergeCell ref="AB16:AH16"/>
    <mergeCell ref="AI16:AM16"/>
    <mergeCell ref="AN16:AT16"/>
    <mergeCell ref="AU16:AY16"/>
    <mergeCell ref="A15:B15"/>
    <mergeCell ref="C16:I16"/>
    <mergeCell ref="J15:M15"/>
    <mergeCell ref="N15:AA15"/>
    <mergeCell ref="AB15:AH15"/>
    <mergeCell ref="AI15:AM15"/>
    <mergeCell ref="AN17:AT17"/>
    <mergeCell ref="AU17:AY17"/>
    <mergeCell ref="A14:B14"/>
    <mergeCell ref="C15:I15"/>
    <mergeCell ref="J14:M14"/>
    <mergeCell ref="N14:AA14"/>
    <mergeCell ref="AB14:AH14"/>
    <mergeCell ref="AI14:AM14"/>
    <mergeCell ref="AN14:AT14"/>
    <mergeCell ref="AU14:AY14"/>
    <mergeCell ref="A13:B13"/>
    <mergeCell ref="C14:I14"/>
    <mergeCell ref="J13:M13"/>
    <mergeCell ref="N13:AA13"/>
    <mergeCell ref="AB13:AH13"/>
    <mergeCell ref="AI13:AM13"/>
    <mergeCell ref="AN15:AT15"/>
    <mergeCell ref="AU15:AY15"/>
    <mergeCell ref="J10:M11"/>
    <mergeCell ref="N10:AA11"/>
    <mergeCell ref="AB10:AH11"/>
    <mergeCell ref="AI10:AM11"/>
    <mergeCell ref="AN10:AT11"/>
    <mergeCell ref="AU10:AY11"/>
    <mergeCell ref="A10:B11"/>
    <mergeCell ref="A12:B12"/>
    <mergeCell ref="C13:I13"/>
    <mergeCell ref="J12:M12"/>
    <mergeCell ref="N12:AA12"/>
    <mergeCell ref="AB12:AH12"/>
    <mergeCell ref="AI12:AM12"/>
    <mergeCell ref="AN12:AT12"/>
    <mergeCell ref="AU12:AY12"/>
    <mergeCell ref="C12:I12"/>
    <mergeCell ref="C11:I11"/>
    <mergeCell ref="AN13:AT13"/>
    <mergeCell ref="AU13:AY13"/>
    <mergeCell ref="C10:I10"/>
    <mergeCell ref="A8:B8"/>
    <mergeCell ref="C8:I8"/>
    <mergeCell ref="J8:M8"/>
    <mergeCell ref="N8:AA8"/>
    <mergeCell ref="AB8:AH8"/>
    <mergeCell ref="AI8:AM8"/>
    <mergeCell ref="AN8:AT8"/>
    <mergeCell ref="AU8:AY8"/>
    <mergeCell ref="AN9:AT9"/>
    <mergeCell ref="AU9:AY9"/>
    <mergeCell ref="A9:B9"/>
    <mergeCell ref="C9:I9"/>
    <mergeCell ref="J9:M9"/>
    <mergeCell ref="N9:AA9"/>
    <mergeCell ref="AB9:AH9"/>
    <mergeCell ref="AI9:AM9"/>
    <mergeCell ref="A1:F2"/>
    <mergeCell ref="K1:AY4"/>
    <mergeCell ref="A3:F3"/>
    <mergeCell ref="A4:F4"/>
    <mergeCell ref="A6:B7"/>
    <mergeCell ref="C6:I7"/>
    <mergeCell ref="J6:M7"/>
    <mergeCell ref="N6:AA7"/>
    <mergeCell ref="AB6:AH7"/>
    <mergeCell ref="AI6:AM7"/>
    <mergeCell ref="AN6:AT7"/>
    <mergeCell ref="AU6:AY7"/>
  </mergeCells>
  <dataValidations count="1">
    <dataValidation type="list" operator="equal" sqref="B4 B1:B2" xr:uid="{F60A0548-B679-4602-A011-BB46D4B9ECA1}">
      <formula1>"Normal,Abnormal"</formula1>
      <formula2>0</formula2>
    </dataValidation>
  </dataValidations>
  <pageMargins left="0.7" right="0.7" top="0.75" bottom="0.75" header="0.3" footer="0.3"/>
  <pageSetup scale="8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3E2A-F2C0-4CAB-850A-A40C2DCEEDEF}">
  <dimension ref="A1:G71"/>
  <sheetViews>
    <sheetView showGridLines="0" view="pageBreakPreview" zoomScale="70" zoomScaleNormal="100" zoomScaleSheetLayoutView="70" workbookViewId="0">
      <pane xSplit="4" ySplit="3" topLeftCell="E4" activePane="bottomRight" state="frozen"/>
      <selection pane="bottomRight" activeCell="C44" sqref="C44"/>
      <selection pane="bottomLeft" activeCell="H30" sqref="H30:T30"/>
      <selection pane="topRight" activeCell="H30" sqref="H30:T30"/>
    </sheetView>
  </sheetViews>
  <sheetFormatPr defaultColWidth="10.28515625" defaultRowHeight="15" customHeight="1"/>
  <cols>
    <col min="1" max="1" width="14.5703125" style="75" customWidth="1"/>
    <col min="2" max="2" width="31.42578125" style="67" customWidth="1"/>
    <col min="3" max="3" width="66.5703125" style="68" customWidth="1"/>
    <col min="4" max="4" width="12" style="69" customWidth="1"/>
    <col min="5" max="5" width="8.7109375" style="69" customWidth="1"/>
    <col min="6" max="6" width="12.42578125" style="69" customWidth="1"/>
    <col min="7" max="7" width="76.5703125" style="69" customWidth="1"/>
    <col min="8" max="8" width="3.5703125" style="69" customWidth="1"/>
    <col min="9" max="12" width="10.28515625" style="69" customWidth="1"/>
    <col min="13" max="13" width="2.5703125" style="69" customWidth="1"/>
    <col min="14" max="17" width="10.28515625" style="69" customWidth="1"/>
    <col min="18" max="16384" width="10.28515625" style="69"/>
  </cols>
  <sheetData>
    <row r="1" spans="1:7">
      <c r="A1" s="66"/>
    </row>
    <row r="2" spans="1:7" ht="14.45" customHeight="1">
      <c r="A2" s="242" t="s">
        <v>27</v>
      </c>
      <c r="B2" s="242" t="s">
        <v>28</v>
      </c>
      <c r="C2" s="242" t="s">
        <v>29</v>
      </c>
      <c r="D2" s="249" t="s">
        <v>30</v>
      </c>
      <c r="F2" s="247" t="s">
        <v>31</v>
      </c>
      <c r="G2" s="245" t="s">
        <v>32</v>
      </c>
    </row>
    <row r="3" spans="1:7">
      <c r="A3" s="243"/>
      <c r="B3" s="243"/>
      <c r="C3" s="243"/>
      <c r="D3" s="250"/>
      <c r="F3" s="248"/>
      <c r="G3" s="246"/>
    </row>
    <row r="4" spans="1:7" ht="28.5" customHeight="1">
      <c r="A4" s="166">
        <f>_xlfn.XLOOKUP(B4, 'Jumpstart Program Schedule'!G:G, 'Jumpstart Program Schedule'!F:F)</f>
        <v>13</v>
      </c>
      <c r="B4" s="120" t="str">
        <f>'Jumpstart Program Schedule'!G14</f>
        <v>LANDING PAGE</v>
      </c>
      <c r="C4" s="121"/>
      <c r="D4" s="121"/>
      <c r="F4" s="122">
        <f>_xlfn.XLOOKUP(B4, 'Jumpstart Program Schedule'!G:G, 'Jumpstart Program Schedule'!J:J)</f>
        <v>5</v>
      </c>
      <c r="G4" s="122"/>
    </row>
    <row r="5" spans="1:7" ht="45.75">
      <c r="A5" s="166"/>
      <c r="B5" s="77"/>
      <c r="C5" s="80" t="s">
        <v>33</v>
      </c>
      <c r="D5" s="76" t="s">
        <v>34</v>
      </c>
      <c r="F5" s="153"/>
      <c r="G5" s="154"/>
    </row>
    <row r="6" spans="1:7" ht="30.75" customHeight="1">
      <c r="A6" s="166">
        <f>_xlfn.XLOOKUP(B6, 'Jumpstart Program Schedule'!G:G, 'Jumpstart Program Schedule'!F:F)</f>
        <v>15</v>
      </c>
      <c r="B6" s="120" t="str">
        <f>'Jumpstart Program Schedule'!G16</f>
        <v>AUTHENTICATION</v>
      </c>
      <c r="C6" s="123"/>
      <c r="D6" s="124"/>
      <c r="F6" s="122">
        <f>_xlfn.XLOOKUP(B6, 'Jumpstart Program Schedule'!G:G, 'Jumpstart Program Schedule'!J:J)</f>
        <v>5</v>
      </c>
      <c r="G6" s="149"/>
    </row>
    <row r="7" spans="1:7" ht="42.75" customHeight="1">
      <c r="A7" s="166">
        <f>_xlfn.XLOOKUP(B7, 'Jumpstart Program Schedule'!G:G, 'Jumpstart Program Schedule'!F:F)</f>
        <v>16</v>
      </c>
      <c r="B7" s="125" t="str">
        <f>'Jumpstart Program Schedule'!G17</f>
        <v xml:space="preserve">  LOGIN PAGE</v>
      </c>
      <c r="C7" s="155" t="s">
        <v>35</v>
      </c>
      <c r="D7" s="156" t="s">
        <v>34</v>
      </c>
      <c r="F7" s="168">
        <f>_xlfn.XLOOKUP(B7, 'Jumpstart Program Schedule'!G:G, 'Jumpstart Program Schedule'!J:J)</f>
        <v>3</v>
      </c>
      <c r="G7" s="157"/>
    </row>
    <row r="8" spans="1:7" ht="30.75" customHeight="1">
      <c r="A8" s="166">
        <f>_xlfn.XLOOKUP(B8, 'Jumpstart Program Schedule'!G:G, 'Jumpstart Program Schedule'!F:F)</f>
        <v>20</v>
      </c>
      <c r="B8" s="125" t="str">
        <f>'Jumpstart Program Schedule'!G21</f>
        <v xml:space="preserve">  REGISTER/SIGNUP</v>
      </c>
      <c r="C8" s="155" t="s">
        <v>36</v>
      </c>
      <c r="D8" s="156" t="s">
        <v>34</v>
      </c>
      <c r="F8" s="168">
        <f>_xlfn.XLOOKUP(B8, 'Jumpstart Program Schedule'!G:G, 'Jumpstart Program Schedule'!J:J)</f>
        <v>1</v>
      </c>
      <c r="G8" s="157"/>
    </row>
    <row r="9" spans="1:7" ht="30.75">
      <c r="A9" s="166">
        <f>_xlfn.XLOOKUP(B9, 'Jumpstart Program Schedule'!G:G, 'Jumpstart Program Schedule'!F:F)</f>
        <v>25</v>
      </c>
      <c r="B9" s="125" t="str">
        <f>'Jumpstart Program Schedule'!G26</f>
        <v xml:space="preserve">  FORGOT PASSWORD</v>
      </c>
      <c r="C9" s="155" t="s">
        <v>37</v>
      </c>
      <c r="D9" s="156" t="s">
        <v>34</v>
      </c>
      <c r="F9" s="168">
        <f>_xlfn.XLOOKUP(B9, 'Jumpstart Program Schedule'!G:G, 'Jumpstart Program Schedule'!J:J)</f>
        <v>4</v>
      </c>
      <c r="G9" s="158"/>
    </row>
    <row r="10" spans="1:7" ht="31.5" customHeight="1">
      <c r="A10" s="166">
        <f>_xlfn.XLOOKUP(B10, 'Jumpstart Program Schedule'!G:G, 'Jumpstart Program Schedule'!F:F)</f>
        <v>31</v>
      </c>
      <c r="B10" s="128" t="str">
        <f>'Jumpstart Program Schedule'!G32</f>
        <v>BOOK CATALOGUE</v>
      </c>
      <c r="C10" s="126"/>
      <c r="D10" s="127"/>
      <c r="F10" s="122">
        <f>_xlfn.XLOOKUP(B10, 'Jumpstart Program Schedule'!G:G, 'Jumpstart Program Schedule'!J:J)</f>
        <v>7</v>
      </c>
      <c r="G10" s="149"/>
    </row>
    <row r="11" spans="1:7">
      <c r="A11" s="166">
        <f>_xlfn.XLOOKUP(B11, 'Jumpstart Program Schedule'!G:G, 'Jumpstart Program Schedule'!F:F)</f>
        <v>32</v>
      </c>
      <c r="B11" s="78" t="str">
        <f>'Jumpstart Program Schedule'!G33</f>
        <v xml:space="preserve">    LIST</v>
      </c>
      <c r="C11" s="75" t="s">
        <v>38</v>
      </c>
      <c r="D11" s="76" t="s">
        <v>34</v>
      </c>
      <c r="F11" s="169">
        <f>_xlfn.XLOOKUP(B11, 'Jumpstart Program Schedule'!G:G, 'Jumpstart Program Schedule'!J:J)</f>
        <v>5</v>
      </c>
      <c r="G11" s="154"/>
    </row>
    <row r="12" spans="1:7" ht="30.75">
      <c r="A12" s="166">
        <f>_xlfn.XLOOKUP(B12, 'Jumpstart Program Schedule'!G:G, 'Jumpstart Program Schedule'!F:F)</f>
        <v>37</v>
      </c>
      <c r="B12" s="79" t="str">
        <f>'Jumpstart Program Schedule'!G38</f>
        <v xml:space="preserve">    VIEW</v>
      </c>
      <c r="C12" s="129" t="s">
        <v>39</v>
      </c>
      <c r="D12" s="76" t="s">
        <v>34</v>
      </c>
      <c r="F12" s="169">
        <f>_xlfn.XLOOKUP(B12, 'Jumpstart Program Schedule'!G:G, 'Jumpstart Program Schedule'!J:J)</f>
        <v>5</v>
      </c>
      <c r="G12" s="70"/>
    </row>
    <row r="13" spans="1:7" ht="30.75">
      <c r="A13" s="166">
        <f>_xlfn.XLOOKUP(B13, 'Jumpstart Program Schedule'!G:G, 'Jumpstart Program Schedule'!F:F)</f>
        <v>42</v>
      </c>
      <c r="B13" s="79" t="str">
        <f>'Jumpstart Program Schedule'!G43</f>
        <v xml:space="preserve">    SEARCH</v>
      </c>
      <c r="C13" s="129" t="s">
        <v>40</v>
      </c>
      <c r="D13" s="76" t="s">
        <v>34</v>
      </c>
      <c r="F13" s="169">
        <f>_xlfn.XLOOKUP(B13, 'Jumpstart Program Schedule'!G:G, 'Jumpstart Program Schedule'!J:J)</f>
        <v>2</v>
      </c>
      <c r="G13" s="70"/>
    </row>
    <row r="14" spans="1:7">
      <c r="A14" s="166">
        <f>_xlfn.XLOOKUP(B14, 'Jumpstart Program Schedule'!G:G, 'Jumpstart Program Schedule'!F:F)</f>
        <v>46</v>
      </c>
      <c r="B14" s="128" t="str">
        <f>'Jumpstart Program Schedule'!G47</f>
        <v>BORROWING SYSTEM</v>
      </c>
      <c r="C14" s="126"/>
      <c r="D14" s="127"/>
      <c r="F14" s="122">
        <f>_xlfn.XLOOKUP(B14, 'Jumpstart Program Schedule'!G:G, 'Jumpstart Program Schedule'!J:J)</f>
        <v>8</v>
      </c>
      <c r="G14" s="150"/>
    </row>
    <row r="15" spans="1:7" ht="30.75">
      <c r="A15" s="166">
        <f>_xlfn.XLOOKUP(B15, 'Jumpstart Program Schedule'!G:G, 'Jumpstart Program Schedule'!F:F)</f>
        <v>32</v>
      </c>
      <c r="B15" s="79" t="str">
        <f>'Jumpstart Program Schedule'!G48</f>
        <v xml:space="preserve">    LIST</v>
      </c>
      <c r="C15" s="129" t="s">
        <v>41</v>
      </c>
      <c r="D15" s="76" t="s">
        <v>34</v>
      </c>
      <c r="F15" s="169">
        <f>_xlfn.XLOOKUP(B15, 'Jumpstart Program Schedule'!G:G, 'Jumpstart Program Schedule'!J:J)</f>
        <v>5</v>
      </c>
      <c r="G15" s="70"/>
    </row>
    <row r="16" spans="1:7" ht="30.75">
      <c r="A16" s="166">
        <f>_xlfn.XLOOKUP(B16, 'Jumpstart Program Schedule'!G:G, 'Jumpstart Program Schedule'!F:F)</f>
        <v>51</v>
      </c>
      <c r="B16" s="79" t="str">
        <f>'Jumpstart Program Schedule'!G52</f>
        <v xml:space="preserve">    ADD (Borrow Book)</v>
      </c>
      <c r="C16" s="129" t="s">
        <v>42</v>
      </c>
      <c r="D16" s="76" t="s">
        <v>34</v>
      </c>
      <c r="F16" s="169">
        <f>_xlfn.XLOOKUP(B16, 'Jumpstart Program Schedule'!G:G, 'Jumpstart Program Schedule'!J:J)</f>
        <v>1</v>
      </c>
      <c r="G16" s="70"/>
    </row>
    <row r="17" spans="1:7" ht="30.75">
      <c r="A17" s="166">
        <f>_xlfn.XLOOKUP(B17, 'Jumpstart Program Schedule'!G:G, 'Jumpstart Program Schedule'!F:F)</f>
        <v>57</v>
      </c>
      <c r="B17" s="132" t="str">
        <f>'Jumpstart Program Schedule'!G58</f>
        <v xml:space="preserve">    EDIT (Return Book)</v>
      </c>
      <c r="C17" s="133" t="s">
        <v>43</v>
      </c>
      <c r="D17" s="76" t="s">
        <v>34</v>
      </c>
      <c r="F17" s="169">
        <f>_xlfn.XLOOKUP(B17, 'Jumpstart Program Schedule'!G:G, 'Jumpstart Program Schedule'!J:J)</f>
        <v>1</v>
      </c>
      <c r="G17" s="153"/>
    </row>
    <row r="18" spans="1:7" ht="30.75">
      <c r="A18" s="166">
        <f>_xlfn.XLOOKUP(B18, 'Jumpstart Program Schedule'!G:G, 'Jumpstart Program Schedule'!F:F)</f>
        <v>63</v>
      </c>
      <c r="B18" s="130" t="str">
        <f>'Jumpstart Program Schedule'!G64</f>
        <v xml:space="preserve">    VIEW (History)</v>
      </c>
      <c r="C18" s="131" t="s">
        <v>44</v>
      </c>
      <c r="D18" s="76" t="s">
        <v>34</v>
      </c>
      <c r="F18" s="169">
        <f>_xlfn.XLOOKUP(B18, 'Jumpstart Program Schedule'!G:G, 'Jumpstart Program Schedule'!J:J)</f>
        <v>3</v>
      </c>
      <c r="G18" s="70"/>
    </row>
    <row r="19" spans="1:7" ht="30.75">
      <c r="A19" s="166">
        <f>_xlfn.XLOOKUP(B19, 'Jumpstart Program Schedule'!G:G, 'Jumpstart Program Schedule'!F:F)</f>
        <v>67</v>
      </c>
      <c r="B19" s="130" t="str">
        <f>'Jumpstart Program Schedule'!G68</f>
        <v xml:space="preserve">    REQUEST</v>
      </c>
      <c r="C19" s="131" t="s">
        <v>45</v>
      </c>
      <c r="D19" s="76" t="s">
        <v>34</v>
      </c>
      <c r="F19" s="169">
        <f>_xlfn.XLOOKUP(B19, 'Jumpstart Program Schedule'!G:G, 'Jumpstart Program Schedule'!J:J)</f>
        <v>5</v>
      </c>
      <c r="G19" s="71"/>
    </row>
    <row r="20" spans="1:7">
      <c r="A20" s="166">
        <f>_xlfn.XLOOKUP(B20, 'Jumpstart Program Schedule'!G:G, 'Jumpstart Program Schedule'!F:F)</f>
        <v>72</v>
      </c>
      <c r="B20" s="128" t="str">
        <f>'Jumpstart Program Schedule'!G73</f>
        <v>NOTIFICATIONS (User-Facing)</v>
      </c>
      <c r="C20" s="126"/>
      <c r="D20" s="127"/>
      <c r="F20" s="122">
        <f>_xlfn.XLOOKUP(B20, 'Jumpstart Program Schedule'!G:G, 'Jumpstart Program Schedule'!J:J)</f>
        <v>3</v>
      </c>
      <c r="G20" s="149"/>
    </row>
    <row r="21" spans="1:7">
      <c r="A21" s="166">
        <f>_xlfn.XLOOKUP(B21, 'Jumpstart Program Schedule'!G:G, 'Jumpstart Program Schedule'!F:F)</f>
        <v>73</v>
      </c>
      <c r="B21" s="130" t="str">
        <f>'Jumpstart Program Schedule'!G74</f>
        <v xml:space="preserve">    Notification Dropdown</v>
      </c>
      <c r="C21" s="131" t="s">
        <v>46</v>
      </c>
      <c r="D21" s="76" t="s">
        <v>34</v>
      </c>
      <c r="F21" s="169">
        <f>_xlfn.XLOOKUP(B21, 'Jumpstart Program Schedule'!G:G, 'Jumpstart Program Schedule'!J:J)</f>
        <v>1</v>
      </c>
      <c r="G21" s="70"/>
    </row>
    <row r="22" spans="1:7">
      <c r="A22" s="166">
        <f>_xlfn.XLOOKUP(B22, 'Jumpstart Program Schedule'!G:G, 'Jumpstart Program Schedule'!F:F)</f>
        <v>77</v>
      </c>
      <c r="B22" s="130" t="str">
        <f>'Jumpstart Program Schedule'!G78</f>
        <v xml:space="preserve">    Notification Page</v>
      </c>
      <c r="C22" s="131" t="s">
        <v>47</v>
      </c>
      <c r="D22" s="76" t="s">
        <v>34</v>
      </c>
      <c r="F22" s="169">
        <f>_xlfn.XLOOKUP(B22, 'Jumpstart Program Schedule'!G:G, 'Jumpstart Program Schedule'!J:J)</f>
        <v>1</v>
      </c>
      <c r="G22" s="70"/>
    </row>
    <row r="23" spans="1:7">
      <c r="A23" s="166">
        <f>_xlfn.XLOOKUP(B23, 'Jumpstart Program Schedule'!G:G, 'Jumpstart Program Schedule'!F:F)</f>
        <v>80</v>
      </c>
      <c r="B23" s="128" t="str">
        <f>'Jumpstart Program Schedule'!G81</f>
        <v>ADMIN PANEL</v>
      </c>
      <c r="C23" s="126"/>
      <c r="D23" s="127"/>
      <c r="F23" s="122">
        <f>_xlfn.XLOOKUP(B23, 'Jumpstart Program Schedule'!G:G, 'Jumpstart Program Schedule'!J:J)</f>
        <v>6</v>
      </c>
      <c r="G23" s="149"/>
    </row>
    <row r="24" spans="1:7" ht="30.75">
      <c r="A24" s="166">
        <f>_xlfn.XLOOKUP(B24, 'Jumpstart Program Schedule'!G:G, 'Jumpstart Program Schedule'!F:F)</f>
        <v>81</v>
      </c>
      <c r="B24" s="135" t="str">
        <f>'Jumpstart Program Schedule'!G82</f>
        <v>LOGIN</v>
      </c>
      <c r="C24" s="138" t="s">
        <v>48</v>
      </c>
      <c r="D24" s="156" t="s">
        <v>34</v>
      </c>
      <c r="F24" s="168">
        <f>_xlfn.XLOOKUP(B24, 'Jumpstart Program Schedule'!G:G, 'Jumpstart Program Schedule'!J:J)</f>
        <v>2</v>
      </c>
      <c r="G24" s="157"/>
    </row>
    <row r="25" spans="1:7">
      <c r="A25" s="166">
        <f>_xlfn.XLOOKUP(B25, 'Jumpstart Program Schedule'!G:G, 'Jumpstart Program Schedule'!F:F)</f>
        <v>85</v>
      </c>
      <c r="B25" s="135" t="str">
        <f>'Jumpstart Program Schedule'!G86</f>
        <v>DASHBOARD</v>
      </c>
      <c r="C25" s="138" t="s">
        <v>49</v>
      </c>
      <c r="D25" s="156" t="s">
        <v>34</v>
      </c>
      <c r="F25" s="168">
        <f>_xlfn.XLOOKUP(B25, 'Jumpstart Program Schedule'!G:G, 'Jumpstart Program Schedule'!J:J)</f>
        <v>2</v>
      </c>
      <c r="G25" s="157"/>
    </row>
    <row r="26" spans="1:7" ht="14.45" customHeight="1">
      <c r="A26" s="166">
        <f>_xlfn.XLOOKUP(B26, 'Jumpstart Program Schedule'!G:G, 'Jumpstart Program Schedule'!F:F)</f>
        <v>89</v>
      </c>
      <c r="B26" s="136" t="str">
        <f>'Jumpstart Program Schedule'!G90</f>
        <v xml:space="preserve">   USER MANAGEMENT</v>
      </c>
      <c r="C26" s="134" t="s">
        <v>50</v>
      </c>
      <c r="D26" s="156" t="s">
        <v>34</v>
      </c>
      <c r="F26" s="168">
        <f>_xlfn.XLOOKUP(B26, 'Jumpstart Program Schedule'!G:G, 'Jumpstart Program Schedule'!J:J)</f>
        <v>2</v>
      </c>
      <c r="G26" s="158"/>
    </row>
    <row r="27" spans="1:7" ht="30.75">
      <c r="A27" s="166">
        <f>'Jumpstart Program Schedule'!F91</f>
        <v>90</v>
      </c>
      <c r="B27" s="130" t="str">
        <f>'Jumpstart Program Schedule'!G91</f>
        <v xml:space="preserve">    LIST</v>
      </c>
      <c r="C27" s="131" t="s">
        <v>51</v>
      </c>
      <c r="D27" s="76" t="s">
        <v>34</v>
      </c>
      <c r="F27" s="169">
        <f>_xlfn.XLOOKUP(B27, 'Jumpstart Program Schedule'!G:G, 'Jumpstart Program Schedule'!J:J)</f>
        <v>5</v>
      </c>
      <c r="G27" s="70"/>
    </row>
    <row r="28" spans="1:7">
      <c r="A28" s="166">
        <f>_xlfn.XLOOKUP(B28, 'Jumpstart Program Schedule'!G:G, 'Jumpstart Program Schedule'!F:F)</f>
        <v>94</v>
      </c>
      <c r="B28" s="130" t="str">
        <f>'Jumpstart Program Schedule'!G95</f>
        <v xml:space="preserve">    ADD</v>
      </c>
      <c r="C28" s="131" t="s">
        <v>52</v>
      </c>
      <c r="D28" s="76" t="s">
        <v>34</v>
      </c>
      <c r="F28" s="169">
        <f>_xlfn.XLOOKUP(B28, 'Jumpstart Program Schedule'!G:G, 'Jumpstart Program Schedule'!J:J)</f>
        <v>2</v>
      </c>
      <c r="G28" s="70"/>
    </row>
    <row r="29" spans="1:7" ht="30.75">
      <c r="A29" s="166">
        <f>_xlfn.XLOOKUP(B29, 'Jumpstart Program Schedule'!G:G, 'Jumpstart Program Schedule'!F:F)</f>
        <v>98</v>
      </c>
      <c r="B29" s="130" t="str">
        <f>'Jumpstart Program Schedule'!G99</f>
        <v xml:space="preserve">    EDIT</v>
      </c>
      <c r="C29" s="131" t="s">
        <v>53</v>
      </c>
      <c r="D29" s="76" t="s">
        <v>34</v>
      </c>
      <c r="F29" s="169">
        <f>_xlfn.XLOOKUP(B29, 'Jumpstart Program Schedule'!G:G, 'Jumpstart Program Schedule'!J:J)</f>
        <v>2</v>
      </c>
      <c r="G29" s="70"/>
    </row>
    <row r="30" spans="1:7" ht="30.75">
      <c r="A30" s="166">
        <f>_xlfn.XLOOKUP(B30, 'Jumpstart Program Schedule'!G:G, 'Jumpstart Program Schedule'!F:F)</f>
        <v>102</v>
      </c>
      <c r="B30" s="130" t="str">
        <f>'Jumpstart Program Schedule'!G103</f>
        <v xml:space="preserve">    DELETE</v>
      </c>
      <c r="C30" s="131" t="s">
        <v>54</v>
      </c>
      <c r="D30" s="76" t="s">
        <v>34</v>
      </c>
      <c r="F30" s="169">
        <f>_xlfn.XLOOKUP(B30, 'Jumpstart Program Schedule'!G:G, 'Jumpstart Program Schedule'!J:J)</f>
        <v>2</v>
      </c>
      <c r="G30" s="70"/>
    </row>
    <row r="31" spans="1:7" ht="30.75">
      <c r="A31" s="166">
        <f>'Jumpstart Program Schedule'!F107</f>
        <v>106</v>
      </c>
      <c r="B31" s="130" t="str">
        <f>'Jumpstart Program Schedule'!G107</f>
        <v xml:space="preserve">    VIEW</v>
      </c>
      <c r="C31" s="131" t="s">
        <v>55</v>
      </c>
      <c r="D31" s="76" t="s">
        <v>34</v>
      </c>
      <c r="F31" s="169">
        <f>_xlfn.XLOOKUP(B31, 'Jumpstart Program Schedule'!G:G, 'Jumpstart Program Schedule'!J:J)</f>
        <v>5</v>
      </c>
      <c r="G31" s="70"/>
    </row>
    <row r="32" spans="1:7">
      <c r="A32" s="166">
        <f>_xlfn.XLOOKUP(B32, 'Jumpstart Program Schedule'!G:G, 'Jumpstart Program Schedule'!F:F)</f>
        <v>110</v>
      </c>
      <c r="B32" s="136" t="str">
        <f>'Jumpstart Program Schedule'!G111</f>
        <v xml:space="preserve">   BOOK MANAGEMENT</v>
      </c>
      <c r="C32" s="134" t="s">
        <v>56</v>
      </c>
      <c r="D32" s="156" t="s">
        <v>34</v>
      </c>
      <c r="F32" s="168">
        <f>_xlfn.XLOOKUP(B32, 'Jumpstart Program Schedule'!G:G, 'Jumpstart Program Schedule'!J:J)</f>
        <v>2</v>
      </c>
      <c r="G32" s="157"/>
    </row>
    <row r="33" spans="1:7" ht="30.75">
      <c r="A33" s="166">
        <v>111</v>
      </c>
      <c r="B33" s="130" t="str">
        <f>'Jumpstart Program Schedule'!G112</f>
        <v xml:space="preserve">    LIST</v>
      </c>
      <c r="C33" s="131" t="s">
        <v>57</v>
      </c>
      <c r="D33" s="76" t="s">
        <v>34</v>
      </c>
      <c r="F33" s="169">
        <f>_xlfn.XLOOKUP(B33, 'Jumpstart Program Schedule'!G:G, 'Jumpstart Program Schedule'!J:J)</f>
        <v>5</v>
      </c>
      <c r="G33" s="70"/>
    </row>
    <row r="34" spans="1:7" ht="30.75">
      <c r="A34" s="166">
        <v>115</v>
      </c>
      <c r="B34" s="130" t="str">
        <f>'Jumpstart Program Schedule'!G116</f>
        <v xml:space="preserve">    ADD</v>
      </c>
      <c r="C34" s="133" t="s">
        <v>58</v>
      </c>
      <c r="D34" s="76" t="s">
        <v>34</v>
      </c>
      <c r="F34" s="169">
        <f>_xlfn.XLOOKUP(B34, 'Jumpstart Program Schedule'!G:G, 'Jumpstart Program Schedule'!J:J)</f>
        <v>2</v>
      </c>
      <c r="G34" s="153"/>
    </row>
    <row r="35" spans="1:7" ht="30.75">
      <c r="A35" s="166">
        <v>120</v>
      </c>
      <c r="B35" s="130" t="str">
        <f>'Jumpstart Program Schedule'!G121</f>
        <v xml:space="preserve">    EDIT</v>
      </c>
      <c r="C35" s="131" t="s">
        <v>59</v>
      </c>
      <c r="D35" s="76" t="s">
        <v>34</v>
      </c>
      <c r="F35" s="169">
        <f>_xlfn.XLOOKUP(B35, 'Jumpstart Program Schedule'!G:G, 'Jumpstart Program Schedule'!J:J)</f>
        <v>2</v>
      </c>
      <c r="G35" s="70"/>
    </row>
    <row r="36" spans="1:7" ht="30.75">
      <c r="A36" s="166">
        <v>124</v>
      </c>
      <c r="B36" s="130" t="str">
        <f>'Jumpstart Program Schedule'!G125</f>
        <v xml:space="preserve">    DELETE</v>
      </c>
      <c r="C36" s="131" t="s">
        <v>60</v>
      </c>
      <c r="D36" s="76" t="s">
        <v>34</v>
      </c>
      <c r="F36" s="169">
        <f>_xlfn.XLOOKUP(B36, 'Jumpstart Program Schedule'!G:G, 'Jumpstart Program Schedule'!J:J)</f>
        <v>2</v>
      </c>
      <c r="G36" s="70"/>
    </row>
    <row r="37" spans="1:7" ht="30.75">
      <c r="A37" s="166">
        <v>128</v>
      </c>
      <c r="B37" s="130" t="str">
        <f>'Jumpstart Program Schedule'!G129</f>
        <v xml:space="preserve">    VIEW</v>
      </c>
      <c r="C37" s="131" t="s">
        <v>61</v>
      </c>
      <c r="D37" s="76" t="s">
        <v>34</v>
      </c>
      <c r="F37" s="169">
        <f>_xlfn.XLOOKUP(B37, 'Jumpstart Program Schedule'!G:G, 'Jumpstart Program Schedule'!J:J)</f>
        <v>5</v>
      </c>
      <c r="G37" s="70"/>
    </row>
    <row r="38" spans="1:7" ht="30.75">
      <c r="A38" s="166">
        <f>_xlfn.XLOOKUP(B38, 'Jumpstart Program Schedule'!G:G, 'Jumpstart Program Schedule'!F:F)</f>
        <v>132</v>
      </c>
      <c r="B38" s="136" t="str">
        <f>'Jumpstart Program Schedule'!G133</f>
        <v xml:space="preserve">   CATEGORY MANAGEMENT</v>
      </c>
      <c r="C38" s="139" t="s">
        <v>62</v>
      </c>
      <c r="D38" s="156" t="s">
        <v>34</v>
      </c>
      <c r="F38" s="168">
        <f>_xlfn.XLOOKUP(B38, 'Jumpstart Program Schedule'!G:G, 'Jumpstart Program Schedule'!J:J)</f>
        <v>2</v>
      </c>
      <c r="G38" s="157"/>
    </row>
    <row r="39" spans="1:7">
      <c r="A39" s="166">
        <v>133</v>
      </c>
      <c r="B39" s="130" t="str">
        <f>'Jumpstart Program Schedule'!G134</f>
        <v xml:space="preserve">    LIST</v>
      </c>
      <c r="C39" s="131" t="s">
        <v>63</v>
      </c>
      <c r="D39" s="76" t="s">
        <v>34</v>
      </c>
      <c r="F39" s="169">
        <f>_xlfn.XLOOKUP(B39, 'Jumpstart Program Schedule'!G:G, 'Jumpstart Program Schedule'!J:J)</f>
        <v>5</v>
      </c>
      <c r="G39" s="70"/>
    </row>
    <row r="40" spans="1:7">
      <c r="A40" s="166">
        <v>136</v>
      </c>
      <c r="B40" s="130" t="str">
        <f>'Jumpstart Program Schedule'!G137</f>
        <v xml:space="preserve">    ADD</v>
      </c>
      <c r="C40" s="131" t="s">
        <v>64</v>
      </c>
      <c r="D40" s="76" t="s">
        <v>34</v>
      </c>
      <c r="F40" s="169">
        <f>_xlfn.XLOOKUP(B40, 'Jumpstart Program Schedule'!G:G, 'Jumpstart Program Schedule'!J:J)</f>
        <v>2</v>
      </c>
      <c r="G40" s="70"/>
    </row>
    <row r="41" spans="1:7">
      <c r="A41" s="166">
        <v>140</v>
      </c>
      <c r="B41" s="130" t="str">
        <f>'Jumpstart Program Schedule'!G141</f>
        <v xml:space="preserve">    EDIT</v>
      </c>
      <c r="C41" s="131" t="s">
        <v>65</v>
      </c>
      <c r="D41" s="76" t="s">
        <v>34</v>
      </c>
      <c r="F41" s="169">
        <f>_xlfn.XLOOKUP(B41, 'Jumpstart Program Schedule'!G:G, 'Jumpstart Program Schedule'!J:J)</f>
        <v>2</v>
      </c>
      <c r="G41" s="70"/>
    </row>
    <row r="42" spans="1:7" ht="14.45" customHeight="1">
      <c r="A42" s="166">
        <v>143</v>
      </c>
      <c r="B42" s="130" t="str">
        <f>'Jumpstart Program Schedule'!G144</f>
        <v xml:space="preserve">    DELETE</v>
      </c>
      <c r="C42" s="132" t="s">
        <v>66</v>
      </c>
      <c r="D42" s="76" t="s">
        <v>34</v>
      </c>
      <c r="F42" s="169">
        <f>_xlfn.XLOOKUP(B42, 'Jumpstart Program Schedule'!G:G, 'Jumpstart Program Schedule'!J:J)</f>
        <v>2</v>
      </c>
      <c r="G42" s="153"/>
    </row>
    <row r="43" spans="1:7">
      <c r="A43" s="166">
        <f>_xlfn.XLOOKUP(B43, 'Jumpstart Program Schedule'!G:G, 'Jumpstart Program Schedule'!F:F)</f>
        <v>146</v>
      </c>
      <c r="B43" s="136" t="str">
        <f>'Jumpstart Program Schedule'!G147</f>
        <v xml:space="preserve">   REPORTING</v>
      </c>
      <c r="C43" s="139" t="s">
        <v>67</v>
      </c>
      <c r="D43" s="156" t="s">
        <v>34</v>
      </c>
      <c r="F43" s="168">
        <f>_xlfn.XLOOKUP(B43, 'Jumpstart Program Schedule'!G:G, 'Jumpstart Program Schedule'!J:J)</f>
        <v>2</v>
      </c>
      <c r="G43" s="157"/>
    </row>
    <row r="44" spans="1:7" ht="30.75">
      <c r="A44" s="166">
        <f>_xlfn.XLOOKUP(B44, 'Jumpstart Program Schedule'!G:G, 'Jumpstart Program Schedule'!F:F)</f>
        <v>147</v>
      </c>
      <c r="B44" s="254" t="str">
        <f>'Jumpstart Program Schedule'!G148</f>
        <v xml:space="preserve">    Borrowing Report</v>
      </c>
      <c r="C44" s="131" t="s">
        <v>68</v>
      </c>
      <c r="D44" s="76" t="s">
        <v>34</v>
      </c>
      <c r="F44" s="169">
        <f>_xlfn.XLOOKUP(B44, 'Jumpstart Program Schedule'!G:G, 'Jumpstart Program Schedule'!J:J)</f>
        <v>2</v>
      </c>
      <c r="G44" s="70"/>
    </row>
    <row r="45" spans="1:7" ht="30.75">
      <c r="A45" s="166">
        <f>_xlfn.XLOOKUP(B45, 'Jumpstart Program Schedule'!G:G, 'Jumpstart Program Schedule'!F:F)</f>
        <v>152</v>
      </c>
      <c r="B45" s="130" t="str">
        <f>'Jumpstart Program Schedule'!G153</f>
        <v xml:space="preserve">    Inventory Report</v>
      </c>
      <c r="C45" s="131" t="s">
        <v>69</v>
      </c>
      <c r="D45" s="76" t="s">
        <v>34</v>
      </c>
      <c r="F45" s="169">
        <f>_xlfn.XLOOKUP(B45, 'Jumpstart Program Schedule'!G:G, 'Jumpstart Program Schedule'!J:J)</f>
        <v>2</v>
      </c>
      <c r="G45" s="70"/>
    </row>
    <row r="46" spans="1:7" ht="30.75">
      <c r="A46" s="166">
        <f>_xlfn.XLOOKUP(B46, 'Jumpstart Program Schedule'!G:G, 'Jumpstart Program Schedule'!F:F)</f>
        <v>156</v>
      </c>
      <c r="B46" s="142" t="str">
        <f>'Jumpstart Program Schedule'!G157</f>
        <v xml:space="preserve">    Member Report</v>
      </c>
      <c r="C46" s="143" t="s">
        <v>70</v>
      </c>
      <c r="D46" s="76" t="s">
        <v>34</v>
      </c>
      <c r="F46" s="169">
        <f>_xlfn.XLOOKUP(B46, 'Jumpstart Program Schedule'!G:G, 'Jumpstart Program Schedule'!J:J)</f>
        <v>2</v>
      </c>
      <c r="G46" s="151"/>
    </row>
    <row r="47" spans="1:7" ht="30.75">
      <c r="A47" s="166">
        <f>_xlfn.XLOOKUP(B47, 'Jumpstart Program Schedule'!G:G, 'Jumpstart Program Schedule'!F:F)</f>
        <v>160</v>
      </c>
      <c r="B47" s="130" t="str">
        <f>'Jumpstart Program Schedule'!G161</f>
        <v xml:space="preserve">    Request Report</v>
      </c>
      <c r="C47" s="145" t="s">
        <v>71</v>
      </c>
      <c r="D47" s="76" t="s">
        <v>34</v>
      </c>
      <c r="F47" s="169">
        <f>_xlfn.XLOOKUP(B47, 'Jumpstart Program Schedule'!G:G, 'Jumpstart Program Schedule'!J:J)</f>
        <v>2</v>
      </c>
      <c r="G47" s="140"/>
    </row>
    <row r="48" spans="1:7" ht="30.75">
      <c r="A48" s="166">
        <f>_xlfn.XLOOKUP(B48, 'Jumpstart Program Schedule'!G:G, 'Jumpstart Program Schedule'!F:F)</f>
        <v>164</v>
      </c>
      <c r="B48" s="144" t="str">
        <f>'Jumpstart Program Schedule'!G165</f>
        <v xml:space="preserve">    Lost Book Report</v>
      </c>
      <c r="C48" s="146" t="s">
        <v>72</v>
      </c>
      <c r="D48" s="76" t="s">
        <v>34</v>
      </c>
      <c r="F48" s="169">
        <f>_xlfn.XLOOKUP(B48, 'Jumpstart Program Schedule'!G:G, 'Jumpstart Program Schedule'!J:J)</f>
        <v>2</v>
      </c>
      <c r="G48" s="140"/>
    </row>
    <row r="49" spans="1:7">
      <c r="A49" s="166">
        <f>_xlfn.XLOOKUP(B49, 'Jumpstart Program Schedule'!G:G, 'Jumpstart Program Schedule'!F:F)</f>
        <v>168</v>
      </c>
      <c r="B49" s="136" t="str">
        <f>'Jumpstart Program Schedule'!G169</f>
        <v>NOTIFICATIONS (Admin Config)</v>
      </c>
      <c r="C49" s="139" t="s">
        <v>67</v>
      </c>
      <c r="D49" s="156" t="s">
        <v>34</v>
      </c>
      <c r="F49" s="168">
        <f>_xlfn.XLOOKUP(B49, 'Jumpstart Program Schedule'!G:G, 'Jumpstart Program Schedule'!J:J)</f>
        <v>2</v>
      </c>
      <c r="G49" s="159"/>
    </row>
    <row r="50" spans="1:7" ht="30.75">
      <c r="A50" s="166">
        <f>_xlfn.XLOOKUP(B50, 'Jumpstart Program Schedule'!G:G, 'Jumpstart Program Schedule'!F:F)</f>
        <v>169</v>
      </c>
      <c r="B50" s="167" t="str">
        <f>'Jumpstart Program Schedule'!G170</f>
        <v xml:space="preserve">  Configure Email Notifications</v>
      </c>
      <c r="C50" s="146" t="s">
        <v>73</v>
      </c>
      <c r="D50" s="76" t="s">
        <v>34</v>
      </c>
      <c r="F50" s="169">
        <f>_xlfn.XLOOKUP(B50, 'Jumpstart Program Schedule'!G:G, 'Jumpstart Program Schedule'!J:J)</f>
        <v>2</v>
      </c>
      <c r="G50" s="140"/>
    </row>
    <row r="51" spans="1:7" ht="27" customHeight="1">
      <c r="A51" s="166">
        <f>_xlfn.XLOOKUP(B51, 'Jumpstart Program Schedule'!G:G, 'Jumpstart Program Schedule'!F:F)</f>
        <v>170</v>
      </c>
      <c r="B51" s="167" t="str">
        <f>'Jumpstart Program Schedule'!G171</f>
        <v xml:space="preserve">     Implement Due Date Reminders</v>
      </c>
      <c r="C51" s="253" t="s">
        <v>74</v>
      </c>
      <c r="D51" s="76" t="s">
        <v>34</v>
      </c>
      <c r="F51" s="169">
        <f>_xlfn.XLOOKUP(B51, 'Jumpstart Program Schedule'!G:G, 'Jumpstart Program Schedule'!J:J)</f>
        <v>2</v>
      </c>
      <c r="G51" s="140"/>
    </row>
    <row r="52" spans="1:7">
      <c r="A52" s="166">
        <f>_xlfn.XLOOKUP(B52, 'Jumpstart Program Schedule'!G:G, 'Jumpstart Program Schedule'!F:F)</f>
        <v>171</v>
      </c>
      <c r="B52" s="128" t="str">
        <f>'Jumpstart Program Schedule'!G172</f>
        <v>QUALITY ASSURANCE</v>
      </c>
      <c r="C52" s="126"/>
      <c r="D52" s="127"/>
      <c r="F52" s="122">
        <f>_xlfn.XLOOKUP(B52, 'Jumpstart Program Schedule'!G:G, 'Jumpstart Program Schedule'!J:J)</f>
        <v>18</v>
      </c>
      <c r="G52" s="152"/>
    </row>
    <row r="53" spans="1:7" ht="15" customHeight="1">
      <c r="A53" s="166">
        <f>_xlfn.XLOOKUP(B53, 'Jumpstart Program Schedule'!G:G, 'Jumpstart Program Schedule'!F:F)</f>
        <v>172</v>
      </c>
      <c r="B53" s="136" t="str">
        <f>'Jumpstart Program Schedule'!G173</f>
        <v>Manual Testing</v>
      </c>
      <c r="C53" s="139"/>
      <c r="D53" s="137"/>
      <c r="F53" s="168">
        <f>_xlfn.XLOOKUP(B53, 'Jumpstart Program Schedule'!G:G, 'Jumpstart Program Schedule'!J:J)</f>
        <v>18</v>
      </c>
      <c r="G53" s="159"/>
    </row>
    <row r="54" spans="1:7" ht="30.75">
      <c r="A54" s="166">
        <f>_xlfn.XLOOKUP(B54, 'Jumpstart Program Schedule'!G:G, 'Jumpstart Program Schedule'!F:F)</f>
        <v>173</v>
      </c>
      <c r="B54" s="141" t="str">
        <f>'Jumpstart Program Schedule'!G174</f>
        <v xml:space="preserve">  Testing UI Responsiveness</v>
      </c>
      <c r="C54" s="146" t="s">
        <v>75</v>
      </c>
      <c r="D54" s="76" t="s">
        <v>34</v>
      </c>
      <c r="F54" s="169">
        <f>_xlfn.XLOOKUP(B54, 'Jumpstart Program Schedule'!G:G, 'Jumpstart Program Schedule'!J:J)</f>
        <v>18</v>
      </c>
      <c r="G54" s="140"/>
    </row>
    <row r="55" spans="1:7" ht="29.25">
      <c r="A55" s="166">
        <f>_xlfn.XLOOKUP(B55, 'Jumpstart Program Schedule'!G:G, 'Jumpstart Program Schedule'!F:F)</f>
        <v>174</v>
      </c>
      <c r="B55" s="141" t="str">
        <f>'Jumpstart Program Schedule'!G175</f>
        <v xml:space="preserve">     Testing Authentication Flow</v>
      </c>
      <c r="C55" s="147" t="s">
        <v>76</v>
      </c>
      <c r="D55" s="76" t="s">
        <v>34</v>
      </c>
      <c r="F55" s="169">
        <f>_xlfn.XLOOKUP(B55, 'Jumpstart Program Schedule'!G:G, 'Jumpstart Program Schedule'!J:J)</f>
        <v>16</v>
      </c>
      <c r="G55" s="140"/>
    </row>
    <row r="56" spans="1:7" ht="15" customHeight="1">
      <c r="A56" s="166">
        <f>_xlfn.XLOOKUP(B56, 'Jumpstart Program Schedule'!G:G, 'Jumpstart Program Schedule'!F:F)</f>
        <v>175</v>
      </c>
      <c r="B56" s="141" t="str">
        <f>'Jumpstart Program Schedule'!G176</f>
        <v xml:space="preserve">     Testing Book Catalog</v>
      </c>
      <c r="C56" s="146" t="s">
        <v>77</v>
      </c>
      <c r="D56" s="76" t="s">
        <v>34</v>
      </c>
      <c r="F56" s="169">
        <f>_xlfn.XLOOKUP(B56, 'Jumpstart Program Schedule'!G:G, 'Jumpstart Program Schedule'!J:J)</f>
        <v>14</v>
      </c>
      <c r="G56" s="140"/>
    </row>
    <row r="57" spans="1:7" ht="30.75">
      <c r="A57" s="166">
        <f>_xlfn.XLOOKUP(B57, 'Jumpstart Program Schedule'!G:G, 'Jumpstart Program Schedule'!F:F)</f>
        <v>176</v>
      </c>
      <c r="B57" s="141" t="str">
        <f>'Jumpstart Program Schedule'!G177</f>
        <v xml:space="preserve">     Testing Borrowing System</v>
      </c>
      <c r="C57" s="146" t="s">
        <v>78</v>
      </c>
      <c r="D57" s="76" t="s">
        <v>34</v>
      </c>
      <c r="F57" s="169">
        <f>_xlfn.XLOOKUP(B57, 'Jumpstart Program Schedule'!G:G, 'Jumpstart Program Schedule'!J:J)</f>
        <v>9</v>
      </c>
      <c r="G57" s="140"/>
    </row>
    <row r="58" spans="1:7" ht="30.75">
      <c r="A58" s="166">
        <f>_xlfn.XLOOKUP(B58, 'Jumpstart Program Schedule'!G:G, 'Jumpstart Program Schedule'!F:F)</f>
        <v>177</v>
      </c>
      <c r="B58" s="141" t="str">
        <f>'Jumpstart Program Schedule'!G178</f>
        <v xml:space="preserve">     Testing Admin Features</v>
      </c>
      <c r="C58" s="146" t="s">
        <v>79</v>
      </c>
      <c r="D58" s="76" t="s">
        <v>34</v>
      </c>
      <c r="F58" s="169">
        <f>_xlfn.XLOOKUP(B58, 'Jumpstart Program Schedule'!G:G, 'Jumpstart Program Schedule'!J:J)</f>
        <v>7</v>
      </c>
      <c r="G58" s="140"/>
    </row>
    <row r="59" spans="1:7" ht="15" customHeight="1">
      <c r="C59" s="148"/>
    </row>
    <row r="60" spans="1:7" ht="15" customHeight="1">
      <c r="C60" s="148"/>
    </row>
    <row r="69" spans="4:5" ht="15" customHeight="1">
      <c r="D69" s="244" t="s">
        <v>80</v>
      </c>
      <c r="E69" s="244"/>
    </row>
    <row r="70" spans="4:5" ht="15" customHeight="1">
      <c r="D70" s="72" t="s">
        <v>81</v>
      </c>
      <c r="E70" s="73">
        <f>SUM(F4:F46)</f>
        <v>132</v>
      </c>
    </row>
    <row r="71" spans="4:5" ht="15" customHeight="1">
      <c r="D71" s="72" t="s">
        <v>82</v>
      </c>
      <c r="E71" s="74">
        <f>E70/20</f>
        <v>6.6</v>
      </c>
    </row>
  </sheetData>
  <mergeCells count="7">
    <mergeCell ref="A2:A3"/>
    <mergeCell ref="D69:E69"/>
    <mergeCell ref="G2:G3"/>
    <mergeCell ref="F2:F3"/>
    <mergeCell ref="B2:B3"/>
    <mergeCell ref="C2:C3"/>
    <mergeCell ref="D2:D3"/>
  </mergeCells>
  <pageMargins left="0.7" right="0.7" top="0.75" bottom="0.75" header="0.3" footer="0.3"/>
  <pageSetup scale="7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7"/>
  <sheetViews>
    <sheetView tabSelected="1" workbookViewId="0">
      <selection activeCell="C23" sqref="C23"/>
    </sheetView>
  </sheetViews>
  <sheetFormatPr defaultRowHeight="15"/>
  <cols>
    <col min="1" max="1" width="15.7109375" bestFit="1" customWidth="1"/>
    <col min="2" max="2" width="13.42578125" customWidth="1"/>
    <col min="3" max="3" width="19.7109375" bestFit="1" customWidth="1"/>
    <col min="4" max="4" width="11.140625" bestFit="1" customWidth="1"/>
    <col min="5" max="5" width="16.85546875" bestFit="1" customWidth="1"/>
    <col min="6" max="6" width="11.7109375" customWidth="1"/>
    <col min="7" max="7" width="41.140625" customWidth="1"/>
    <col min="8" max="8" width="17.5703125" customWidth="1"/>
    <col min="9" max="9" width="22.5703125" customWidth="1"/>
    <col min="10" max="10" width="15.5703125" customWidth="1"/>
    <col min="11" max="11" width="16" customWidth="1"/>
    <col min="12" max="12" width="12.85546875" customWidth="1"/>
    <col min="13" max="13" width="13" customWidth="1"/>
    <col min="14" max="14" width="19.42578125" customWidth="1"/>
    <col min="15" max="15" width="12.5703125" bestFit="1" customWidth="1"/>
    <col min="16" max="16" width="11.7109375" bestFit="1" customWidth="1"/>
    <col min="16384" max="16384" width="9.140625" bestFit="1" customWidth="1"/>
  </cols>
  <sheetData>
    <row r="1" spans="1:14">
      <c r="A1" s="16" t="s">
        <v>18</v>
      </c>
      <c r="B1" s="18" t="s">
        <v>83</v>
      </c>
      <c r="C1" s="21" t="s">
        <v>84</v>
      </c>
      <c r="D1" s="24" t="s">
        <v>85</v>
      </c>
      <c r="E1" s="5" t="s">
        <v>24</v>
      </c>
      <c r="F1" s="1" t="s">
        <v>86</v>
      </c>
      <c r="G1" s="2" t="s">
        <v>87</v>
      </c>
      <c r="H1" s="3" t="s">
        <v>88</v>
      </c>
      <c r="I1" s="3" t="s">
        <v>89</v>
      </c>
      <c r="J1" s="10" t="s">
        <v>90</v>
      </c>
      <c r="K1" s="10" t="s">
        <v>91</v>
      </c>
      <c r="L1" s="10" t="s">
        <v>92</v>
      </c>
      <c r="M1" s="11" t="s">
        <v>93</v>
      </c>
      <c r="N1" s="11" t="s">
        <v>94</v>
      </c>
    </row>
    <row r="2" spans="1:14" ht="18.75">
      <c r="A2" s="17" t="s">
        <v>95</v>
      </c>
      <c r="B2" s="19" t="s">
        <v>95</v>
      </c>
      <c r="C2" s="22" t="s">
        <v>95</v>
      </c>
      <c r="D2" s="25" t="s">
        <v>95</v>
      </c>
      <c r="E2" s="26" t="s">
        <v>95</v>
      </c>
      <c r="F2" s="160">
        <v>1</v>
      </c>
      <c r="G2" s="48" t="s">
        <v>96</v>
      </c>
      <c r="H2" s="4">
        <v>45892</v>
      </c>
      <c r="I2" s="7">
        <v>45981</v>
      </c>
      <c r="J2" s="252">
        <f t="shared" ref="J2:J33" si="0">DAYS360(H2,I2)+1</f>
        <v>88</v>
      </c>
      <c r="K2" s="252" t="s">
        <v>97</v>
      </c>
      <c r="L2" s="252">
        <f>DAYS360(M2,N2)+1</f>
        <v>88</v>
      </c>
      <c r="M2" s="12">
        <v>45892</v>
      </c>
      <c r="N2" s="12">
        <v>45981</v>
      </c>
    </row>
    <row r="3" spans="1:14">
      <c r="A3" s="17" t="s">
        <v>95</v>
      </c>
      <c r="B3" s="19" t="s">
        <v>95</v>
      </c>
      <c r="C3" s="22" t="s">
        <v>95</v>
      </c>
      <c r="D3" s="25" t="s">
        <v>95</v>
      </c>
      <c r="E3" s="26" t="s">
        <v>95</v>
      </c>
      <c r="F3" s="161">
        <v>2</v>
      </c>
      <c r="G3" s="28" t="s">
        <v>98</v>
      </c>
      <c r="H3" s="4">
        <v>45892</v>
      </c>
      <c r="I3" s="7">
        <v>45899</v>
      </c>
      <c r="J3" s="252">
        <f t="shared" si="0"/>
        <v>8</v>
      </c>
      <c r="K3" s="252" t="s">
        <v>97</v>
      </c>
      <c r="L3" s="252">
        <f t="shared" ref="L3:L66" si="1">DAYS360(M3,N3)+1</f>
        <v>8</v>
      </c>
      <c r="M3" s="12">
        <v>45892</v>
      </c>
      <c r="N3" s="12">
        <v>45899</v>
      </c>
    </row>
    <row r="4" spans="1:14">
      <c r="A4" s="17" t="s">
        <v>95</v>
      </c>
      <c r="B4" s="20" t="s">
        <v>95</v>
      </c>
      <c r="C4" s="22" t="s">
        <v>95</v>
      </c>
      <c r="D4" s="25" t="s">
        <v>95</v>
      </c>
      <c r="E4" s="26" t="s">
        <v>95</v>
      </c>
      <c r="F4" s="161">
        <v>3</v>
      </c>
      <c r="G4" s="28" t="s">
        <v>99</v>
      </c>
      <c r="H4" s="4">
        <v>45892</v>
      </c>
      <c r="I4" s="4">
        <v>45899</v>
      </c>
      <c r="J4" s="252">
        <f t="shared" si="0"/>
        <v>8</v>
      </c>
      <c r="K4" s="252">
        <v>2</v>
      </c>
      <c r="L4" s="252">
        <f t="shared" si="1"/>
        <v>8</v>
      </c>
      <c r="M4" s="12">
        <v>45892</v>
      </c>
      <c r="N4" s="12">
        <v>45899</v>
      </c>
    </row>
    <row r="5" spans="1:14">
      <c r="A5" s="17" t="s">
        <v>95</v>
      </c>
      <c r="B5" s="19" t="s">
        <v>95</v>
      </c>
      <c r="C5" s="23" t="s">
        <v>95</v>
      </c>
      <c r="D5" s="25" t="s">
        <v>95</v>
      </c>
      <c r="E5" s="26" t="s">
        <v>95</v>
      </c>
      <c r="F5" s="161">
        <v>4</v>
      </c>
      <c r="G5" s="28" t="s">
        <v>100</v>
      </c>
      <c r="H5" s="4">
        <v>45892</v>
      </c>
      <c r="I5" s="4">
        <v>45978</v>
      </c>
      <c r="J5" s="252">
        <f t="shared" si="0"/>
        <v>85</v>
      </c>
      <c r="K5" s="252">
        <v>3</v>
      </c>
      <c r="L5" s="252">
        <f t="shared" si="1"/>
        <v>85</v>
      </c>
      <c r="M5" s="12">
        <v>45892</v>
      </c>
      <c r="N5" s="12">
        <v>45978</v>
      </c>
    </row>
    <row r="6" spans="1:14" ht="18.75">
      <c r="A6" s="17" t="s">
        <v>95</v>
      </c>
      <c r="B6" s="20" t="s">
        <v>95</v>
      </c>
      <c r="C6" s="22" t="s">
        <v>95</v>
      </c>
      <c r="D6" s="25" t="s">
        <v>95</v>
      </c>
      <c r="E6" s="26" t="s">
        <v>95</v>
      </c>
      <c r="F6" s="160">
        <v>5</v>
      </c>
      <c r="G6" s="48" t="s">
        <v>101</v>
      </c>
      <c r="H6" s="4">
        <v>45892</v>
      </c>
      <c r="I6" s="4">
        <v>45969</v>
      </c>
      <c r="J6" s="252">
        <f t="shared" si="0"/>
        <v>76</v>
      </c>
      <c r="K6" s="252">
        <v>4</v>
      </c>
      <c r="L6" s="252">
        <f t="shared" si="1"/>
        <v>76</v>
      </c>
      <c r="M6" s="12">
        <v>45892</v>
      </c>
      <c r="N6" s="12">
        <v>45969</v>
      </c>
    </row>
    <row r="7" spans="1:14">
      <c r="A7" s="13"/>
      <c r="B7" s="20" t="s">
        <v>95</v>
      </c>
      <c r="C7" s="22" t="s">
        <v>95</v>
      </c>
      <c r="D7" s="13"/>
      <c r="E7" s="14"/>
      <c r="F7" s="161">
        <v>6</v>
      </c>
      <c r="G7" s="28" t="s">
        <v>102</v>
      </c>
      <c r="H7" s="4">
        <v>45913</v>
      </c>
      <c r="I7" s="4">
        <v>45915</v>
      </c>
      <c r="J7" s="252">
        <f t="shared" si="0"/>
        <v>3</v>
      </c>
      <c r="K7" s="252">
        <v>5</v>
      </c>
      <c r="L7" s="252">
        <f t="shared" si="1"/>
        <v>3</v>
      </c>
      <c r="M7" s="12">
        <v>45913</v>
      </c>
      <c r="N7" s="12">
        <v>45915</v>
      </c>
    </row>
    <row r="8" spans="1:14" ht="16.5" customHeight="1">
      <c r="A8" s="15"/>
      <c r="B8" s="20" t="s">
        <v>95</v>
      </c>
      <c r="C8" s="22" t="s">
        <v>95</v>
      </c>
      <c r="D8" s="13"/>
      <c r="E8" s="14"/>
      <c r="F8" s="161">
        <v>7</v>
      </c>
      <c r="G8" s="28" t="s">
        <v>103</v>
      </c>
      <c r="H8" s="4">
        <v>45913</v>
      </c>
      <c r="I8" s="4">
        <v>45918</v>
      </c>
      <c r="J8" s="252">
        <f t="shared" si="0"/>
        <v>6</v>
      </c>
      <c r="K8" s="252">
        <v>6</v>
      </c>
      <c r="L8" s="252">
        <f t="shared" si="1"/>
        <v>6</v>
      </c>
      <c r="M8" s="12">
        <v>45913</v>
      </c>
      <c r="N8" s="12">
        <v>45918</v>
      </c>
    </row>
    <row r="9" spans="1:14">
      <c r="A9" s="15"/>
      <c r="B9" s="20" t="s">
        <v>95</v>
      </c>
      <c r="C9" s="22" t="s">
        <v>95</v>
      </c>
      <c r="D9" s="15"/>
      <c r="E9" s="14"/>
      <c r="F9" s="161">
        <v>8</v>
      </c>
      <c r="G9" s="28" t="s">
        <v>104</v>
      </c>
      <c r="H9" s="4">
        <v>45913</v>
      </c>
      <c r="I9" s="4">
        <v>45914</v>
      </c>
      <c r="J9" s="252">
        <f t="shared" si="0"/>
        <v>2</v>
      </c>
      <c r="K9" s="252">
        <v>7</v>
      </c>
      <c r="L9" s="252">
        <f t="shared" si="1"/>
        <v>2</v>
      </c>
      <c r="M9" s="12">
        <v>45913</v>
      </c>
      <c r="N9" s="12">
        <v>45914</v>
      </c>
    </row>
    <row r="10" spans="1:14">
      <c r="A10" s="17" t="s">
        <v>95</v>
      </c>
      <c r="B10" s="15"/>
      <c r="C10" s="15"/>
      <c r="D10" s="15"/>
      <c r="E10" s="14"/>
      <c r="F10" s="161">
        <v>9</v>
      </c>
      <c r="G10" s="28" t="s">
        <v>105</v>
      </c>
      <c r="H10" s="4">
        <v>45914</v>
      </c>
      <c r="I10" s="4">
        <v>45918</v>
      </c>
      <c r="J10" s="252">
        <f t="shared" si="0"/>
        <v>5</v>
      </c>
      <c r="K10" s="252">
        <v>8</v>
      </c>
      <c r="L10" s="252">
        <f t="shared" si="1"/>
        <v>5</v>
      </c>
      <c r="M10" s="12">
        <v>45914</v>
      </c>
      <c r="N10" s="12">
        <v>45918</v>
      </c>
    </row>
    <row r="11" spans="1:14">
      <c r="A11" s="119" t="s">
        <v>95</v>
      </c>
      <c r="B11" s="15"/>
      <c r="C11" s="15"/>
      <c r="D11" s="15"/>
      <c r="E11" s="14"/>
      <c r="F11" s="161">
        <v>10</v>
      </c>
      <c r="G11" s="28" t="s">
        <v>106</v>
      </c>
      <c r="H11" s="4">
        <v>45920</v>
      </c>
      <c r="I11" s="4">
        <v>45923</v>
      </c>
      <c r="J11" s="252">
        <f t="shared" si="0"/>
        <v>4</v>
      </c>
      <c r="K11" s="252">
        <v>9</v>
      </c>
      <c r="L11" s="252">
        <f t="shared" si="1"/>
        <v>4</v>
      </c>
      <c r="M11" s="12">
        <v>45920</v>
      </c>
      <c r="N11" s="12">
        <v>45923</v>
      </c>
    </row>
    <row r="12" spans="1:14">
      <c r="A12" s="17" t="s">
        <v>95</v>
      </c>
      <c r="B12" s="15"/>
      <c r="C12" s="15"/>
      <c r="D12" s="15"/>
      <c r="E12" s="14"/>
      <c r="F12" s="161">
        <v>11</v>
      </c>
      <c r="G12" s="28" t="s">
        <v>107</v>
      </c>
      <c r="H12" s="4">
        <v>45920</v>
      </c>
      <c r="I12" s="4">
        <v>45923</v>
      </c>
      <c r="J12" s="252">
        <f t="shared" si="0"/>
        <v>4</v>
      </c>
      <c r="K12" s="252">
        <v>10</v>
      </c>
      <c r="L12" s="252">
        <f t="shared" si="1"/>
        <v>4</v>
      </c>
      <c r="M12" s="12">
        <v>45920</v>
      </c>
      <c r="N12" s="12">
        <v>45923</v>
      </c>
    </row>
    <row r="13" spans="1:14" ht="18.75">
      <c r="A13" s="17" t="s">
        <v>95</v>
      </c>
      <c r="B13" s="20" t="s">
        <v>95</v>
      </c>
      <c r="C13" s="22" t="s">
        <v>95</v>
      </c>
      <c r="D13" s="25" t="s">
        <v>95</v>
      </c>
      <c r="E13" s="26" t="s">
        <v>95</v>
      </c>
      <c r="F13" s="160">
        <v>12</v>
      </c>
      <c r="G13" s="48" t="s">
        <v>108</v>
      </c>
      <c r="H13" s="4">
        <v>45920</v>
      </c>
      <c r="I13" s="4">
        <v>45981</v>
      </c>
      <c r="J13" s="252">
        <f t="shared" si="0"/>
        <v>61</v>
      </c>
      <c r="K13" s="252">
        <v>11</v>
      </c>
      <c r="L13" s="252">
        <f t="shared" si="1"/>
        <v>61</v>
      </c>
      <c r="M13" s="12">
        <v>45920</v>
      </c>
      <c r="N13" s="12">
        <v>45981</v>
      </c>
    </row>
    <row r="14" spans="1:14" ht="15.75">
      <c r="A14" s="15"/>
      <c r="B14" s="20" t="s">
        <v>95</v>
      </c>
      <c r="C14" s="22" t="s">
        <v>95</v>
      </c>
      <c r="D14" s="15"/>
      <c r="E14" s="14"/>
      <c r="F14" s="162">
        <v>13</v>
      </c>
      <c r="G14" s="49" t="s">
        <v>109</v>
      </c>
      <c r="H14" s="7">
        <v>45920</v>
      </c>
      <c r="I14" s="9">
        <v>45924</v>
      </c>
      <c r="J14" s="252">
        <f t="shared" si="0"/>
        <v>5</v>
      </c>
      <c r="K14" s="252">
        <v>12</v>
      </c>
      <c r="L14" s="252">
        <f t="shared" si="1"/>
        <v>5</v>
      </c>
      <c r="M14" s="12">
        <v>45920</v>
      </c>
      <c r="N14" s="12">
        <v>45924</v>
      </c>
    </row>
    <row r="15" spans="1:14">
      <c r="A15" s="15"/>
      <c r="B15" s="20" t="s">
        <v>95</v>
      </c>
      <c r="C15" s="22" t="s">
        <v>95</v>
      </c>
      <c r="D15" s="15"/>
      <c r="E15" s="14"/>
      <c r="F15" s="161">
        <v>14</v>
      </c>
      <c r="G15" s="27" t="s">
        <v>110</v>
      </c>
      <c r="H15" s="8">
        <v>45920</v>
      </c>
      <c r="I15" s="6">
        <v>45924</v>
      </c>
      <c r="J15" s="252">
        <f t="shared" si="0"/>
        <v>5</v>
      </c>
      <c r="K15" s="252">
        <v>13</v>
      </c>
      <c r="L15" s="252">
        <f t="shared" si="1"/>
        <v>5</v>
      </c>
      <c r="M15" s="8">
        <v>45920</v>
      </c>
      <c r="N15" s="6">
        <v>45924</v>
      </c>
    </row>
    <row r="16" spans="1:14" ht="15.75">
      <c r="A16" s="17" t="s">
        <v>95</v>
      </c>
      <c r="B16" s="20" t="s">
        <v>95</v>
      </c>
      <c r="C16" s="22" t="s">
        <v>95</v>
      </c>
      <c r="D16" s="25" t="s">
        <v>95</v>
      </c>
      <c r="E16" s="26" t="s">
        <v>95</v>
      </c>
      <c r="F16" s="162">
        <v>15</v>
      </c>
      <c r="G16" s="49" t="s">
        <v>111</v>
      </c>
      <c r="H16" s="8">
        <v>45920</v>
      </c>
      <c r="I16" s="6">
        <v>45924</v>
      </c>
      <c r="J16" s="252">
        <f t="shared" si="0"/>
        <v>5</v>
      </c>
      <c r="K16" s="252">
        <v>14</v>
      </c>
      <c r="L16" s="252">
        <f t="shared" si="1"/>
        <v>5</v>
      </c>
      <c r="M16" s="8">
        <v>45920</v>
      </c>
      <c r="N16" s="6">
        <v>45924</v>
      </c>
    </row>
    <row r="17" spans="1:14">
      <c r="A17" s="17" t="s">
        <v>95</v>
      </c>
      <c r="B17" s="20" t="s">
        <v>95</v>
      </c>
      <c r="C17" s="22" t="s">
        <v>95</v>
      </c>
      <c r="D17" s="15"/>
      <c r="E17" s="14"/>
      <c r="F17" s="161">
        <v>16</v>
      </c>
      <c r="G17" s="49" t="s">
        <v>112</v>
      </c>
      <c r="H17" s="8">
        <v>45921</v>
      </c>
      <c r="I17" s="6">
        <v>45923</v>
      </c>
      <c r="J17" s="252">
        <f t="shared" si="0"/>
        <v>3</v>
      </c>
      <c r="K17" s="252">
        <v>15</v>
      </c>
      <c r="L17" s="252">
        <f t="shared" si="1"/>
        <v>3</v>
      </c>
      <c r="M17" s="8">
        <v>45921</v>
      </c>
      <c r="N17" s="6">
        <v>45923</v>
      </c>
    </row>
    <row r="18" spans="1:14">
      <c r="A18" s="15"/>
      <c r="B18" s="20" t="s">
        <v>95</v>
      </c>
      <c r="C18" s="22" t="s">
        <v>95</v>
      </c>
      <c r="D18" s="15"/>
      <c r="E18" s="14"/>
      <c r="F18" s="163">
        <v>17</v>
      </c>
      <c r="G18" s="27" t="s">
        <v>113</v>
      </c>
      <c r="H18" s="8">
        <v>45921</v>
      </c>
      <c r="I18" s="6">
        <v>45924</v>
      </c>
      <c r="J18" s="252">
        <f t="shared" si="0"/>
        <v>4</v>
      </c>
      <c r="K18" s="252">
        <v>16</v>
      </c>
      <c r="L18" s="252">
        <f t="shared" si="1"/>
        <v>4</v>
      </c>
      <c r="M18" s="8">
        <v>45921</v>
      </c>
      <c r="N18" s="6">
        <v>45924</v>
      </c>
    </row>
    <row r="19" spans="1:14">
      <c r="A19" s="17" t="s">
        <v>95</v>
      </c>
      <c r="B19" s="15"/>
      <c r="C19" s="15"/>
      <c r="D19" s="15"/>
      <c r="E19" s="14"/>
      <c r="F19" s="163">
        <v>18</v>
      </c>
      <c r="G19" s="27" t="s">
        <v>114</v>
      </c>
      <c r="H19" s="8">
        <v>45917</v>
      </c>
      <c r="I19" s="6">
        <v>45926</v>
      </c>
      <c r="J19" s="252">
        <f t="shared" si="0"/>
        <v>10</v>
      </c>
      <c r="K19" s="252">
        <v>17</v>
      </c>
      <c r="L19" s="252">
        <f t="shared" si="1"/>
        <v>10</v>
      </c>
      <c r="M19" s="8">
        <v>45917</v>
      </c>
      <c r="N19" s="6">
        <v>45926</v>
      </c>
    </row>
    <row r="20" spans="1:14">
      <c r="A20" s="17" t="s">
        <v>95</v>
      </c>
      <c r="B20" s="15"/>
      <c r="C20" s="15"/>
      <c r="D20" s="25" t="s">
        <v>95</v>
      </c>
      <c r="E20" s="26" t="s">
        <v>95</v>
      </c>
      <c r="F20" s="163">
        <v>19</v>
      </c>
      <c r="G20" s="27" t="s">
        <v>115</v>
      </c>
      <c r="H20" s="8">
        <v>45917</v>
      </c>
      <c r="I20" s="6">
        <v>45917</v>
      </c>
      <c r="J20" s="252">
        <f t="shared" si="0"/>
        <v>1</v>
      </c>
      <c r="K20" s="252">
        <v>18</v>
      </c>
      <c r="L20" s="252">
        <f t="shared" si="1"/>
        <v>1</v>
      </c>
      <c r="M20" s="8">
        <v>45917</v>
      </c>
      <c r="N20" s="6">
        <v>45917</v>
      </c>
    </row>
    <row r="21" spans="1:14" ht="15.75">
      <c r="A21" s="17" t="s">
        <v>95</v>
      </c>
      <c r="B21" s="20" t="s">
        <v>95</v>
      </c>
      <c r="C21" s="22" t="s">
        <v>95</v>
      </c>
      <c r="D21" s="25" t="s">
        <v>95</v>
      </c>
      <c r="E21" s="26" t="s">
        <v>95</v>
      </c>
      <c r="F21" s="162">
        <v>20</v>
      </c>
      <c r="G21" s="49" t="s">
        <v>116</v>
      </c>
      <c r="H21" s="8">
        <v>45917</v>
      </c>
      <c r="I21" s="6">
        <v>45917</v>
      </c>
      <c r="J21" s="252">
        <f t="shared" si="0"/>
        <v>1</v>
      </c>
      <c r="K21" s="252">
        <v>19</v>
      </c>
      <c r="L21" s="252">
        <f t="shared" si="1"/>
        <v>1</v>
      </c>
      <c r="M21" s="8">
        <v>45917</v>
      </c>
      <c r="N21" s="6">
        <v>45917</v>
      </c>
    </row>
    <row r="22" spans="1:14">
      <c r="A22" s="15"/>
      <c r="B22" s="20" t="s">
        <v>95</v>
      </c>
      <c r="C22" s="22" t="s">
        <v>95</v>
      </c>
      <c r="D22" s="15"/>
      <c r="E22" s="14"/>
      <c r="F22" s="163">
        <v>21</v>
      </c>
      <c r="G22" s="27" t="s">
        <v>113</v>
      </c>
      <c r="H22" s="8">
        <v>45917</v>
      </c>
      <c r="I22" s="6">
        <v>45922</v>
      </c>
      <c r="J22" s="252">
        <f t="shared" si="0"/>
        <v>6</v>
      </c>
      <c r="K22" s="252">
        <v>20</v>
      </c>
      <c r="L22" s="252">
        <f t="shared" si="1"/>
        <v>6</v>
      </c>
      <c r="M22" s="8">
        <v>45917</v>
      </c>
      <c r="N22" s="6">
        <v>45922</v>
      </c>
    </row>
    <row r="23" spans="1:14">
      <c r="A23" s="17" t="s">
        <v>95</v>
      </c>
      <c r="B23" s="15"/>
      <c r="C23" s="15"/>
      <c r="D23" s="15"/>
      <c r="E23" s="14"/>
      <c r="F23" s="163">
        <v>22</v>
      </c>
      <c r="G23" s="27" t="s">
        <v>114</v>
      </c>
      <c r="H23" s="8">
        <v>45917</v>
      </c>
      <c r="I23" s="6">
        <v>45922</v>
      </c>
      <c r="J23" s="252">
        <f t="shared" si="0"/>
        <v>6</v>
      </c>
      <c r="K23" s="252">
        <v>21</v>
      </c>
      <c r="L23" s="252">
        <f t="shared" si="1"/>
        <v>6</v>
      </c>
      <c r="M23" s="8">
        <v>45917</v>
      </c>
      <c r="N23" s="6">
        <v>45922</v>
      </c>
    </row>
    <row r="24" spans="1:14">
      <c r="A24" s="17" t="s">
        <v>95</v>
      </c>
      <c r="B24" s="15"/>
      <c r="C24" s="15"/>
      <c r="D24" s="25" t="s">
        <v>95</v>
      </c>
      <c r="E24" s="26" t="s">
        <v>95</v>
      </c>
      <c r="F24" s="163">
        <v>23</v>
      </c>
      <c r="G24" s="27" t="s">
        <v>115</v>
      </c>
      <c r="H24" s="8">
        <v>45917</v>
      </c>
      <c r="I24" s="6">
        <v>45924</v>
      </c>
      <c r="J24" s="252">
        <f t="shared" si="0"/>
        <v>8</v>
      </c>
      <c r="K24" s="252">
        <v>22</v>
      </c>
      <c r="L24" s="252">
        <f t="shared" si="1"/>
        <v>8</v>
      </c>
      <c r="M24" s="8">
        <v>45917</v>
      </c>
      <c r="N24" s="6">
        <v>45924</v>
      </c>
    </row>
    <row r="25" spans="1:14">
      <c r="A25" s="17" t="s">
        <v>95</v>
      </c>
      <c r="B25" s="15"/>
      <c r="C25" s="15"/>
      <c r="D25" s="15"/>
      <c r="E25" s="14"/>
      <c r="F25" s="163">
        <v>24</v>
      </c>
      <c r="G25" s="27" t="s">
        <v>117</v>
      </c>
      <c r="H25" s="8">
        <v>45926</v>
      </c>
      <c r="I25" s="6">
        <v>45934</v>
      </c>
      <c r="J25" s="252">
        <f t="shared" si="0"/>
        <v>9</v>
      </c>
      <c r="K25" s="252">
        <v>23</v>
      </c>
      <c r="L25" s="252">
        <f t="shared" si="1"/>
        <v>9</v>
      </c>
      <c r="M25" s="8">
        <v>45926</v>
      </c>
      <c r="N25" s="6">
        <v>45934</v>
      </c>
    </row>
    <row r="26" spans="1:14" ht="15.75">
      <c r="A26" s="17" t="s">
        <v>95</v>
      </c>
      <c r="B26" s="20" t="s">
        <v>95</v>
      </c>
      <c r="C26" s="22" t="s">
        <v>95</v>
      </c>
      <c r="D26" s="25" t="s">
        <v>95</v>
      </c>
      <c r="E26" s="26" t="s">
        <v>95</v>
      </c>
      <c r="F26" s="162">
        <v>25</v>
      </c>
      <c r="G26" s="49" t="s">
        <v>118</v>
      </c>
      <c r="H26" s="8">
        <v>45928</v>
      </c>
      <c r="I26" s="6">
        <v>45931</v>
      </c>
      <c r="J26" s="252">
        <f t="shared" si="0"/>
        <v>4</v>
      </c>
      <c r="K26" s="252">
        <v>24</v>
      </c>
      <c r="L26" s="252">
        <f t="shared" si="1"/>
        <v>4</v>
      </c>
      <c r="M26" s="8">
        <v>45928</v>
      </c>
      <c r="N26" s="6">
        <v>45931</v>
      </c>
    </row>
    <row r="27" spans="1:14">
      <c r="A27" s="251"/>
      <c r="B27" s="20" t="s">
        <v>95</v>
      </c>
      <c r="C27" s="22" t="s">
        <v>95</v>
      </c>
      <c r="D27" s="15"/>
      <c r="E27" s="14"/>
      <c r="F27" s="163">
        <v>26</v>
      </c>
      <c r="G27" s="27" t="s">
        <v>113</v>
      </c>
      <c r="H27" s="8">
        <v>45926</v>
      </c>
      <c r="I27" s="6">
        <v>45928</v>
      </c>
      <c r="J27" s="252">
        <f t="shared" si="0"/>
        <v>3</v>
      </c>
      <c r="K27" s="252">
        <v>25</v>
      </c>
      <c r="L27" s="252">
        <f t="shared" si="1"/>
        <v>3</v>
      </c>
      <c r="M27" s="8">
        <v>45926</v>
      </c>
      <c r="N27" s="6">
        <v>45928</v>
      </c>
    </row>
    <row r="28" spans="1:14">
      <c r="A28" s="17" t="s">
        <v>95</v>
      </c>
      <c r="B28" s="15"/>
      <c r="C28" s="15"/>
      <c r="D28" s="15"/>
      <c r="E28" s="14"/>
      <c r="F28" s="163">
        <v>27</v>
      </c>
      <c r="G28" s="27" t="s">
        <v>114</v>
      </c>
      <c r="H28" s="8">
        <v>45928</v>
      </c>
      <c r="I28" s="6">
        <v>45929</v>
      </c>
      <c r="J28" s="252">
        <f t="shared" si="0"/>
        <v>2</v>
      </c>
      <c r="K28" s="252">
        <v>26</v>
      </c>
      <c r="L28" s="252">
        <f t="shared" si="1"/>
        <v>2</v>
      </c>
      <c r="M28" s="8">
        <v>45928</v>
      </c>
      <c r="N28" s="6">
        <v>45929</v>
      </c>
    </row>
    <row r="29" spans="1:14">
      <c r="A29" s="17" t="s">
        <v>95</v>
      </c>
      <c r="B29" s="15"/>
      <c r="C29" s="15"/>
      <c r="D29" s="25" t="s">
        <v>95</v>
      </c>
      <c r="E29" s="26" t="s">
        <v>95</v>
      </c>
      <c r="F29" s="161">
        <v>28</v>
      </c>
      <c r="G29" s="27" t="s">
        <v>115</v>
      </c>
      <c r="H29" s="8">
        <v>45929</v>
      </c>
      <c r="I29" s="6">
        <v>45933</v>
      </c>
      <c r="J29" s="252">
        <f t="shared" si="0"/>
        <v>5</v>
      </c>
      <c r="K29" s="252">
        <v>27</v>
      </c>
      <c r="L29" s="252">
        <f t="shared" si="1"/>
        <v>5</v>
      </c>
      <c r="M29" s="8">
        <v>45929</v>
      </c>
      <c r="N29" s="6">
        <v>45933</v>
      </c>
    </row>
    <row r="30" spans="1:14">
      <c r="A30" s="17" t="s">
        <v>95</v>
      </c>
      <c r="B30" s="14"/>
      <c r="C30" s="14"/>
      <c r="D30" s="14"/>
      <c r="E30" s="14"/>
      <c r="F30" s="161">
        <v>29</v>
      </c>
      <c r="G30" s="27" t="s">
        <v>119</v>
      </c>
      <c r="H30" s="8">
        <v>45929</v>
      </c>
      <c r="I30" s="6">
        <v>45934</v>
      </c>
      <c r="J30" s="252">
        <f t="shared" si="0"/>
        <v>6</v>
      </c>
      <c r="K30" s="252">
        <v>28</v>
      </c>
      <c r="L30" s="252">
        <f t="shared" si="1"/>
        <v>6</v>
      </c>
      <c r="M30" s="8">
        <v>45929</v>
      </c>
      <c r="N30" s="6">
        <v>45934</v>
      </c>
    </row>
    <row r="31" spans="1:14">
      <c r="A31" s="17" t="s">
        <v>95</v>
      </c>
      <c r="B31" s="14"/>
      <c r="C31" s="14"/>
      <c r="D31" s="14"/>
      <c r="E31" s="14"/>
      <c r="F31" s="161">
        <v>30</v>
      </c>
      <c r="G31" s="81" t="s">
        <v>120</v>
      </c>
      <c r="H31" s="8">
        <v>45934</v>
      </c>
      <c r="I31" s="6">
        <v>45935</v>
      </c>
      <c r="J31" s="252">
        <f t="shared" si="0"/>
        <v>2</v>
      </c>
      <c r="K31" s="252">
        <v>29</v>
      </c>
      <c r="L31" s="252">
        <f t="shared" si="1"/>
        <v>2</v>
      </c>
      <c r="M31" s="8">
        <v>45934</v>
      </c>
      <c r="N31" s="6">
        <v>45935</v>
      </c>
    </row>
    <row r="32" spans="1:14" ht="15.75">
      <c r="A32" s="17" t="s">
        <v>95</v>
      </c>
      <c r="B32" s="20" t="s">
        <v>95</v>
      </c>
      <c r="C32" s="22" t="s">
        <v>95</v>
      </c>
      <c r="D32" s="25" t="s">
        <v>95</v>
      </c>
      <c r="E32" s="26" t="s">
        <v>95</v>
      </c>
      <c r="F32" s="162">
        <v>31</v>
      </c>
      <c r="G32" s="49" t="s">
        <v>121</v>
      </c>
      <c r="H32" s="164">
        <v>45936</v>
      </c>
      <c r="I32" s="164">
        <v>45942</v>
      </c>
      <c r="J32" s="252">
        <f t="shared" si="0"/>
        <v>7</v>
      </c>
      <c r="K32" s="252">
        <v>30</v>
      </c>
      <c r="L32" s="252">
        <f t="shared" si="1"/>
        <v>7</v>
      </c>
      <c r="M32" s="164">
        <v>45936</v>
      </c>
      <c r="N32" s="164">
        <v>45942</v>
      </c>
    </row>
    <row r="33" spans="1:14">
      <c r="A33" s="17" t="s">
        <v>95</v>
      </c>
      <c r="B33" s="20" t="s">
        <v>95</v>
      </c>
      <c r="C33" s="22" t="s">
        <v>95</v>
      </c>
      <c r="D33" s="25" t="s">
        <v>95</v>
      </c>
      <c r="E33" s="26" t="s">
        <v>95</v>
      </c>
      <c r="F33" s="161">
        <v>32</v>
      </c>
      <c r="G33" s="114" t="s">
        <v>122</v>
      </c>
      <c r="H33" s="165">
        <v>45936</v>
      </c>
      <c r="I33" s="165">
        <v>45940</v>
      </c>
      <c r="J33" s="252">
        <f t="shared" si="0"/>
        <v>5</v>
      </c>
      <c r="K33" s="252">
        <v>31</v>
      </c>
      <c r="L33" s="252">
        <f t="shared" si="1"/>
        <v>5</v>
      </c>
      <c r="M33" s="165">
        <v>45936</v>
      </c>
      <c r="N33" s="165">
        <v>45940</v>
      </c>
    </row>
    <row r="34" spans="1:14">
      <c r="A34" s="14"/>
      <c r="B34" s="20" t="s">
        <v>95</v>
      </c>
      <c r="C34" s="22" t="s">
        <v>95</v>
      </c>
      <c r="D34" s="14"/>
      <c r="E34" s="26" t="s">
        <v>95</v>
      </c>
      <c r="F34" s="161">
        <v>33</v>
      </c>
      <c r="G34" s="115" t="s">
        <v>123</v>
      </c>
      <c r="H34" s="165">
        <v>45936</v>
      </c>
      <c r="I34" s="165">
        <v>45936</v>
      </c>
      <c r="J34" s="252">
        <f t="shared" ref="J34:J65" si="2">DAYS360(H34,I34)+1</f>
        <v>1</v>
      </c>
      <c r="K34" s="252">
        <v>32</v>
      </c>
      <c r="L34" s="252">
        <f t="shared" si="1"/>
        <v>1</v>
      </c>
      <c r="M34" s="165">
        <v>45936</v>
      </c>
      <c r="N34" s="165">
        <v>45936</v>
      </c>
    </row>
    <row r="35" spans="1:14">
      <c r="A35" s="17" t="s">
        <v>95</v>
      </c>
      <c r="B35" s="14"/>
      <c r="C35" s="14"/>
      <c r="D35" s="14"/>
      <c r="E35" s="14"/>
      <c r="F35" s="161">
        <v>34</v>
      </c>
      <c r="G35" s="115" t="s">
        <v>124</v>
      </c>
      <c r="H35" s="165">
        <v>45936</v>
      </c>
      <c r="I35" s="165">
        <v>45936</v>
      </c>
      <c r="J35" s="252">
        <f t="shared" si="2"/>
        <v>1</v>
      </c>
      <c r="K35" s="252">
        <v>33</v>
      </c>
      <c r="L35" s="252">
        <f t="shared" si="1"/>
        <v>1</v>
      </c>
      <c r="M35" s="165">
        <v>45936</v>
      </c>
      <c r="N35" s="165">
        <v>45936</v>
      </c>
    </row>
    <row r="36" spans="1:14">
      <c r="A36" s="14"/>
      <c r="B36" s="14"/>
      <c r="C36" s="14"/>
      <c r="D36" s="25" t="s">
        <v>95</v>
      </c>
      <c r="E36" s="14"/>
      <c r="F36" s="161">
        <v>35</v>
      </c>
      <c r="G36" s="115" t="s">
        <v>125</v>
      </c>
      <c r="H36" s="165">
        <v>45938</v>
      </c>
      <c r="I36" s="165">
        <v>45940</v>
      </c>
      <c r="J36" s="252">
        <f t="shared" si="2"/>
        <v>3</v>
      </c>
      <c r="K36" s="252">
        <v>34</v>
      </c>
      <c r="L36" s="252">
        <f t="shared" si="1"/>
        <v>3</v>
      </c>
      <c r="M36" s="165">
        <v>45938</v>
      </c>
      <c r="N36" s="165">
        <v>45940</v>
      </c>
    </row>
    <row r="37" spans="1:14">
      <c r="A37" s="17" t="s">
        <v>95</v>
      </c>
      <c r="F37" s="161">
        <v>36</v>
      </c>
      <c r="G37" s="115" t="s">
        <v>126</v>
      </c>
      <c r="H37" s="165">
        <v>45937</v>
      </c>
      <c r="I37" s="165">
        <v>45937</v>
      </c>
      <c r="J37" s="252">
        <f t="shared" si="2"/>
        <v>1</v>
      </c>
      <c r="K37" s="252">
        <v>35</v>
      </c>
      <c r="L37" s="252">
        <f t="shared" si="1"/>
        <v>1</v>
      </c>
      <c r="M37" s="165">
        <v>45937</v>
      </c>
      <c r="N37" s="165">
        <v>45937</v>
      </c>
    </row>
    <row r="38" spans="1:14">
      <c r="A38" s="17" t="s">
        <v>95</v>
      </c>
      <c r="B38" s="20" t="s">
        <v>95</v>
      </c>
      <c r="C38" s="22" t="s">
        <v>95</v>
      </c>
      <c r="E38" s="26" t="s">
        <v>95</v>
      </c>
      <c r="F38" s="161">
        <v>37</v>
      </c>
      <c r="G38" s="114" t="s">
        <v>127</v>
      </c>
      <c r="H38" s="165">
        <v>45936</v>
      </c>
      <c r="I38" s="165">
        <v>45940</v>
      </c>
      <c r="J38" s="252">
        <f t="shared" si="2"/>
        <v>5</v>
      </c>
      <c r="K38" s="252">
        <v>36</v>
      </c>
      <c r="L38" s="252">
        <f t="shared" si="1"/>
        <v>5</v>
      </c>
      <c r="M38" s="165">
        <v>45936</v>
      </c>
      <c r="N38" s="165">
        <v>45940</v>
      </c>
    </row>
    <row r="39" spans="1:14">
      <c r="B39" s="20" t="s">
        <v>95</v>
      </c>
      <c r="C39" s="22" t="s">
        <v>95</v>
      </c>
      <c r="E39" s="26" t="s">
        <v>95</v>
      </c>
      <c r="F39" s="161">
        <v>38</v>
      </c>
      <c r="G39" s="115" t="s">
        <v>123</v>
      </c>
      <c r="H39" s="165">
        <v>45936</v>
      </c>
      <c r="I39" s="165">
        <v>45936</v>
      </c>
      <c r="J39" s="252">
        <f t="shared" si="2"/>
        <v>1</v>
      </c>
      <c r="K39" s="252">
        <v>37</v>
      </c>
      <c r="L39" s="252">
        <f t="shared" si="1"/>
        <v>1</v>
      </c>
      <c r="M39" s="165">
        <v>45936</v>
      </c>
      <c r="N39" s="165">
        <v>45936</v>
      </c>
    </row>
    <row r="40" spans="1:14">
      <c r="A40" s="17" t="s">
        <v>95</v>
      </c>
      <c r="F40" s="161">
        <v>39</v>
      </c>
      <c r="G40" s="115" t="s">
        <v>128</v>
      </c>
      <c r="H40" s="165">
        <v>45936</v>
      </c>
      <c r="I40" s="165">
        <v>45936</v>
      </c>
      <c r="J40" s="252">
        <f t="shared" si="2"/>
        <v>1</v>
      </c>
      <c r="K40" s="252">
        <v>38</v>
      </c>
      <c r="L40" s="252">
        <f t="shared" si="1"/>
        <v>1</v>
      </c>
      <c r="M40" s="165">
        <v>45936</v>
      </c>
      <c r="N40" s="165">
        <v>45936</v>
      </c>
    </row>
    <row r="41" spans="1:14">
      <c r="A41" s="17" t="s">
        <v>95</v>
      </c>
      <c r="B41" s="20" t="s">
        <v>95</v>
      </c>
      <c r="C41" s="22" t="s">
        <v>95</v>
      </c>
      <c r="F41" s="161">
        <v>40</v>
      </c>
      <c r="G41" s="115" t="s">
        <v>129</v>
      </c>
      <c r="H41" s="165">
        <v>45936</v>
      </c>
      <c r="I41" s="165">
        <v>45936</v>
      </c>
      <c r="J41" s="252">
        <f t="shared" si="2"/>
        <v>1</v>
      </c>
      <c r="K41" s="252">
        <v>39</v>
      </c>
      <c r="L41" s="252">
        <f t="shared" si="1"/>
        <v>1</v>
      </c>
      <c r="M41" s="165">
        <v>45936</v>
      </c>
      <c r="N41" s="165">
        <v>45936</v>
      </c>
    </row>
    <row r="42" spans="1:14">
      <c r="A42" s="17" t="s">
        <v>95</v>
      </c>
      <c r="B42" s="20" t="s">
        <v>95</v>
      </c>
      <c r="C42" s="22" t="s">
        <v>95</v>
      </c>
      <c r="F42" s="161">
        <v>41</v>
      </c>
      <c r="G42" s="115" t="s">
        <v>130</v>
      </c>
      <c r="H42" s="165">
        <v>45938</v>
      </c>
      <c r="I42" s="165">
        <v>45938</v>
      </c>
      <c r="J42" s="252">
        <f t="shared" si="2"/>
        <v>1</v>
      </c>
      <c r="K42" s="252">
        <v>40</v>
      </c>
      <c r="L42" s="252">
        <f t="shared" si="1"/>
        <v>1</v>
      </c>
      <c r="M42" s="165">
        <v>45938</v>
      </c>
      <c r="N42" s="165">
        <v>45938</v>
      </c>
    </row>
    <row r="43" spans="1:14">
      <c r="B43" s="20" t="s">
        <v>95</v>
      </c>
      <c r="C43" s="22" t="s">
        <v>95</v>
      </c>
      <c r="D43" s="25" t="s">
        <v>95</v>
      </c>
      <c r="E43" s="26" t="s">
        <v>95</v>
      </c>
      <c r="F43" s="161">
        <v>42</v>
      </c>
      <c r="G43" s="114" t="s">
        <v>131</v>
      </c>
      <c r="H43" s="165">
        <v>45939</v>
      </c>
      <c r="I43" s="165">
        <v>45940</v>
      </c>
      <c r="J43" s="252">
        <f t="shared" si="2"/>
        <v>2</v>
      </c>
      <c r="K43" s="252">
        <v>41</v>
      </c>
      <c r="L43" s="252">
        <f t="shared" si="1"/>
        <v>2</v>
      </c>
      <c r="M43" s="165">
        <v>45939</v>
      </c>
      <c r="N43" s="165">
        <v>45940</v>
      </c>
    </row>
    <row r="44" spans="1:14">
      <c r="B44" s="20" t="s">
        <v>95</v>
      </c>
      <c r="C44" s="22" t="s">
        <v>95</v>
      </c>
      <c r="E44" s="26" t="s">
        <v>95</v>
      </c>
      <c r="F44" s="161">
        <v>43</v>
      </c>
      <c r="G44" s="115" t="s">
        <v>132</v>
      </c>
      <c r="H44" s="165">
        <v>45939</v>
      </c>
      <c r="I44" s="165">
        <v>45940</v>
      </c>
      <c r="J44" s="252">
        <f t="shared" si="2"/>
        <v>2</v>
      </c>
      <c r="K44" s="252">
        <v>42</v>
      </c>
      <c r="L44" s="252">
        <f t="shared" si="1"/>
        <v>2</v>
      </c>
      <c r="M44" s="165">
        <v>45939</v>
      </c>
      <c r="N44" s="165">
        <v>45940</v>
      </c>
    </row>
    <row r="45" spans="1:14">
      <c r="A45" s="17" t="s">
        <v>95</v>
      </c>
      <c r="D45" s="25" t="s">
        <v>95</v>
      </c>
      <c r="F45" s="161">
        <v>44</v>
      </c>
      <c r="G45" s="115" t="s">
        <v>133</v>
      </c>
      <c r="H45" s="165">
        <v>45939</v>
      </c>
      <c r="I45" s="165">
        <v>45940</v>
      </c>
      <c r="J45" s="252">
        <f t="shared" si="2"/>
        <v>2</v>
      </c>
      <c r="K45" s="252">
        <v>43</v>
      </c>
      <c r="L45" s="252">
        <f t="shared" si="1"/>
        <v>2</v>
      </c>
      <c r="M45" s="165">
        <v>45939</v>
      </c>
      <c r="N45" s="165">
        <v>45940</v>
      </c>
    </row>
    <row r="46" spans="1:14">
      <c r="B46" s="20" t="s">
        <v>95</v>
      </c>
      <c r="F46" s="161">
        <v>45</v>
      </c>
      <c r="G46" s="115" t="s">
        <v>134</v>
      </c>
      <c r="H46" s="165">
        <v>45940</v>
      </c>
      <c r="I46" s="165">
        <v>45942</v>
      </c>
      <c r="J46" s="252">
        <f t="shared" si="2"/>
        <v>3</v>
      </c>
      <c r="K46" s="252">
        <v>44</v>
      </c>
      <c r="L46" s="252">
        <f t="shared" si="1"/>
        <v>3</v>
      </c>
      <c r="M46" s="165">
        <v>45940</v>
      </c>
      <c r="N46" s="165">
        <v>45942</v>
      </c>
    </row>
    <row r="47" spans="1:14" ht="15.75">
      <c r="B47" s="20" t="s">
        <v>95</v>
      </c>
      <c r="C47" s="22" t="s">
        <v>95</v>
      </c>
      <c r="F47" s="162">
        <v>46</v>
      </c>
      <c r="G47" s="49" t="s">
        <v>135</v>
      </c>
      <c r="H47" s="165">
        <v>45943</v>
      </c>
      <c r="I47" s="165">
        <v>45950</v>
      </c>
      <c r="J47" s="252">
        <f t="shared" si="2"/>
        <v>8</v>
      </c>
      <c r="K47" s="252">
        <v>45</v>
      </c>
      <c r="L47" s="252">
        <f t="shared" si="1"/>
        <v>8</v>
      </c>
      <c r="M47" s="165">
        <v>45943</v>
      </c>
      <c r="N47" s="165">
        <v>45950</v>
      </c>
    </row>
    <row r="48" spans="1:14">
      <c r="B48" s="20" t="s">
        <v>95</v>
      </c>
      <c r="C48" s="22" t="s">
        <v>95</v>
      </c>
      <c r="E48" s="26" t="s">
        <v>95</v>
      </c>
      <c r="F48" s="161">
        <v>47</v>
      </c>
      <c r="G48" s="114" t="s">
        <v>122</v>
      </c>
      <c r="H48" s="165">
        <v>45943</v>
      </c>
      <c r="I48" s="165">
        <v>45943</v>
      </c>
      <c r="J48" s="252">
        <f t="shared" si="2"/>
        <v>1</v>
      </c>
      <c r="K48" s="252">
        <v>46</v>
      </c>
      <c r="L48" s="252">
        <f t="shared" si="1"/>
        <v>1</v>
      </c>
      <c r="M48" s="165">
        <v>45943</v>
      </c>
      <c r="N48" s="165">
        <v>45943</v>
      </c>
    </row>
    <row r="49" spans="1:22">
      <c r="B49" s="20" t="s">
        <v>95</v>
      </c>
      <c r="C49" s="22" t="s">
        <v>95</v>
      </c>
      <c r="E49" s="26" t="s">
        <v>95</v>
      </c>
      <c r="F49" s="161">
        <v>48</v>
      </c>
      <c r="G49" s="115" t="s">
        <v>123</v>
      </c>
      <c r="H49" s="165">
        <v>45943</v>
      </c>
      <c r="I49" s="165">
        <v>45943</v>
      </c>
      <c r="J49" s="252">
        <f t="shared" si="2"/>
        <v>1</v>
      </c>
      <c r="K49" s="252">
        <v>47</v>
      </c>
      <c r="L49" s="252">
        <f t="shared" si="1"/>
        <v>1</v>
      </c>
      <c r="M49" s="165">
        <v>45943</v>
      </c>
      <c r="N49" s="165">
        <v>45943</v>
      </c>
    </row>
    <row r="50" spans="1:22">
      <c r="A50" s="17" t="s">
        <v>95</v>
      </c>
      <c r="F50" s="161">
        <v>49</v>
      </c>
      <c r="G50" s="115" t="s">
        <v>136</v>
      </c>
      <c r="H50" s="165">
        <v>45943</v>
      </c>
      <c r="I50" s="165">
        <v>45943</v>
      </c>
      <c r="J50" s="252">
        <f t="shared" si="2"/>
        <v>1</v>
      </c>
      <c r="K50" s="252">
        <v>48</v>
      </c>
      <c r="L50" s="252">
        <f t="shared" si="1"/>
        <v>1</v>
      </c>
      <c r="M50" s="165">
        <v>45943</v>
      </c>
      <c r="N50" s="165">
        <v>45943</v>
      </c>
    </row>
    <row r="51" spans="1:22">
      <c r="A51" s="17" t="s">
        <v>95</v>
      </c>
      <c r="F51" s="161">
        <v>50</v>
      </c>
      <c r="G51" s="115" t="s">
        <v>137</v>
      </c>
      <c r="H51" s="165">
        <v>45943</v>
      </c>
      <c r="I51" s="165">
        <v>45943</v>
      </c>
      <c r="J51" s="252">
        <f t="shared" si="2"/>
        <v>1</v>
      </c>
      <c r="K51" s="252">
        <v>49</v>
      </c>
      <c r="L51" s="252">
        <f t="shared" si="1"/>
        <v>1</v>
      </c>
      <c r="M51" s="165">
        <v>45943</v>
      </c>
      <c r="N51" s="165">
        <v>45943</v>
      </c>
    </row>
    <row r="52" spans="1:22">
      <c r="A52" s="17" t="s">
        <v>95</v>
      </c>
      <c r="B52" s="20" t="s">
        <v>95</v>
      </c>
      <c r="C52" s="22" t="s">
        <v>95</v>
      </c>
      <c r="E52" s="26" t="s">
        <v>95</v>
      </c>
      <c r="F52" s="161">
        <v>51</v>
      </c>
      <c r="G52" s="114" t="s">
        <v>138</v>
      </c>
      <c r="H52" s="165">
        <v>45944</v>
      </c>
      <c r="I52" s="165">
        <v>45944</v>
      </c>
      <c r="J52" s="252">
        <f t="shared" si="2"/>
        <v>1</v>
      </c>
      <c r="K52" s="252">
        <v>50</v>
      </c>
      <c r="L52" s="252">
        <f t="shared" si="1"/>
        <v>1</v>
      </c>
      <c r="M52" s="165">
        <v>45944</v>
      </c>
      <c r="N52" s="165">
        <v>45944</v>
      </c>
    </row>
    <row r="53" spans="1:22">
      <c r="B53" s="20" t="s">
        <v>95</v>
      </c>
      <c r="C53" s="22" t="s">
        <v>95</v>
      </c>
      <c r="E53" s="26" t="s">
        <v>95</v>
      </c>
      <c r="F53" s="161">
        <v>52</v>
      </c>
      <c r="G53" s="115" t="s">
        <v>123</v>
      </c>
      <c r="H53" s="165">
        <v>45944</v>
      </c>
      <c r="I53" s="165">
        <v>45944</v>
      </c>
      <c r="J53" s="252">
        <f t="shared" si="2"/>
        <v>1</v>
      </c>
      <c r="K53" s="252">
        <v>51</v>
      </c>
      <c r="L53" s="252">
        <f t="shared" si="1"/>
        <v>1</v>
      </c>
      <c r="M53" s="165">
        <v>45944</v>
      </c>
      <c r="N53" s="165">
        <v>45944</v>
      </c>
    </row>
    <row r="54" spans="1:22">
      <c r="A54" s="17" t="s">
        <v>95</v>
      </c>
      <c r="F54" s="161">
        <v>53</v>
      </c>
      <c r="G54" s="115" t="s">
        <v>139</v>
      </c>
      <c r="H54" s="165">
        <v>45944</v>
      </c>
      <c r="I54" s="165">
        <v>45944</v>
      </c>
      <c r="J54" s="252">
        <f t="shared" si="2"/>
        <v>1</v>
      </c>
      <c r="K54" s="252">
        <v>52</v>
      </c>
      <c r="L54" s="252">
        <f t="shared" si="1"/>
        <v>1</v>
      </c>
      <c r="M54" s="165">
        <v>45944</v>
      </c>
      <c r="N54" s="165">
        <v>45944</v>
      </c>
    </row>
    <row r="55" spans="1:22">
      <c r="A55" s="17" t="s">
        <v>95</v>
      </c>
      <c r="F55" s="161">
        <v>54</v>
      </c>
      <c r="G55" s="115" t="s">
        <v>140</v>
      </c>
      <c r="H55" s="165">
        <v>45944</v>
      </c>
      <c r="I55" s="165">
        <v>45944</v>
      </c>
      <c r="J55" s="252">
        <f t="shared" si="2"/>
        <v>1</v>
      </c>
      <c r="K55" s="252">
        <v>53</v>
      </c>
      <c r="L55" s="252">
        <f t="shared" si="1"/>
        <v>1</v>
      </c>
      <c r="M55" s="165">
        <v>45944</v>
      </c>
      <c r="N55" s="165">
        <v>45944</v>
      </c>
    </row>
    <row r="56" spans="1:22">
      <c r="A56" s="17" t="s">
        <v>95</v>
      </c>
      <c r="F56" s="161">
        <v>55</v>
      </c>
      <c r="G56" s="115" t="s">
        <v>141</v>
      </c>
      <c r="H56" s="165">
        <v>45944</v>
      </c>
      <c r="I56" s="165">
        <v>45944</v>
      </c>
      <c r="J56" s="252">
        <f t="shared" si="2"/>
        <v>1</v>
      </c>
      <c r="K56" s="252">
        <v>54</v>
      </c>
      <c r="L56" s="252">
        <f t="shared" si="1"/>
        <v>1</v>
      </c>
      <c r="M56" s="165">
        <v>45944</v>
      </c>
      <c r="N56" s="165">
        <v>45944</v>
      </c>
    </row>
    <row r="57" spans="1:22">
      <c r="A57" t="s">
        <v>142</v>
      </c>
      <c r="F57" s="161">
        <v>56</v>
      </c>
      <c r="G57" s="115" t="s">
        <v>143</v>
      </c>
      <c r="H57" s="165">
        <v>45944</v>
      </c>
      <c r="I57" s="165">
        <v>45944</v>
      </c>
      <c r="J57" s="252">
        <f t="shared" si="2"/>
        <v>1</v>
      </c>
      <c r="K57" s="252">
        <v>55</v>
      </c>
      <c r="L57" s="252">
        <f t="shared" si="1"/>
        <v>1</v>
      </c>
      <c r="M57" s="165">
        <v>45944</v>
      </c>
      <c r="N57" s="165">
        <v>45944</v>
      </c>
    </row>
    <row r="58" spans="1:22">
      <c r="A58" s="17" t="s">
        <v>95</v>
      </c>
      <c r="B58" s="20" t="s">
        <v>95</v>
      </c>
      <c r="C58" s="22" t="s">
        <v>95</v>
      </c>
      <c r="E58" s="26" t="s">
        <v>95</v>
      </c>
      <c r="F58" s="161">
        <v>57</v>
      </c>
      <c r="G58" s="114" t="s">
        <v>144</v>
      </c>
      <c r="H58" s="165">
        <v>45944</v>
      </c>
      <c r="I58" s="165">
        <v>45944</v>
      </c>
      <c r="J58" s="252">
        <f t="shared" si="2"/>
        <v>1</v>
      </c>
      <c r="K58" s="252">
        <v>56</v>
      </c>
      <c r="L58" s="252">
        <f t="shared" si="1"/>
        <v>1</v>
      </c>
      <c r="M58" s="165">
        <v>45944</v>
      </c>
      <c r="N58" s="165">
        <v>45944</v>
      </c>
    </row>
    <row r="59" spans="1:22">
      <c r="B59" s="20" t="s">
        <v>95</v>
      </c>
      <c r="C59" s="22" t="s">
        <v>95</v>
      </c>
      <c r="E59" s="26" t="s">
        <v>95</v>
      </c>
      <c r="F59" s="161">
        <v>58</v>
      </c>
      <c r="G59" s="115" t="s">
        <v>123</v>
      </c>
      <c r="H59" s="165">
        <v>45944</v>
      </c>
      <c r="I59" s="165">
        <v>45944</v>
      </c>
      <c r="J59" s="252">
        <f t="shared" si="2"/>
        <v>1</v>
      </c>
      <c r="K59" s="252">
        <v>57</v>
      </c>
      <c r="L59" s="252">
        <f t="shared" si="1"/>
        <v>1</v>
      </c>
      <c r="M59" s="165">
        <v>45944</v>
      </c>
      <c r="N59" s="165">
        <v>45944</v>
      </c>
    </row>
    <row r="60" spans="1:22">
      <c r="A60" s="17" t="s">
        <v>95</v>
      </c>
      <c r="F60" s="161">
        <v>59</v>
      </c>
      <c r="G60" s="115" t="s">
        <v>145</v>
      </c>
      <c r="H60" s="165">
        <v>45944</v>
      </c>
      <c r="I60" s="165">
        <v>45944</v>
      </c>
      <c r="J60" s="252">
        <f t="shared" si="2"/>
        <v>1</v>
      </c>
      <c r="K60" s="252">
        <v>58</v>
      </c>
      <c r="L60" s="252">
        <f t="shared" si="1"/>
        <v>1</v>
      </c>
      <c r="M60" s="165">
        <v>45944</v>
      </c>
      <c r="N60" s="165">
        <v>45944</v>
      </c>
      <c r="V60" t="s">
        <v>146</v>
      </c>
    </row>
    <row r="61" spans="1:22">
      <c r="A61" s="17" t="s">
        <v>95</v>
      </c>
      <c r="F61" s="161">
        <v>60</v>
      </c>
      <c r="G61" s="115" t="s">
        <v>147</v>
      </c>
      <c r="H61" s="165">
        <v>45944</v>
      </c>
      <c r="I61" s="165">
        <v>45944</v>
      </c>
      <c r="J61" s="252">
        <f t="shared" si="2"/>
        <v>1</v>
      </c>
      <c r="K61" s="252">
        <v>59</v>
      </c>
      <c r="L61" s="252">
        <f t="shared" si="1"/>
        <v>1</v>
      </c>
      <c r="M61" s="165">
        <v>45944</v>
      </c>
      <c r="N61" s="165">
        <v>45944</v>
      </c>
    </row>
    <row r="62" spans="1:22">
      <c r="A62" s="17" t="s">
        <v>95</v>
      </c>
      <c r="F62" s="161">
        <v>61</v>
      </c>
      <c r="G62" s="115" t="s">
        <v>148</v>
      </c>
      <c r="H62" s="165">
        <v>45944</v>
      </c>
      <c r="I62" s="165">
        <v>45945</v>
      </c>
      <c r="J62" s="252">
        <f t="shared" si="2"/>
        <v>2</v>
      </c>
      <c r="K62" s="252">
        <v>60</v>
      </c>
      <c r="L62" s="252">
        <f t="shared" si="1"/>
        <v>2</v>
      </c>
      <c r="M62" s="165">
        <v>45944</v>
      </c>
      <c r="N62" s="165">
        <v>45945</v>
      </c>
    </row>
    <row r="63" spans="1:22">
      <c r="A63" s="17" t="s">
        <v>95</v>
      </c>
      <c r="F63" s="161">
        <v>62</v>
      </c>
      <c r="G63" s="115" t="s">
        <v>149</v>
      </c>
      <c r="H63" s="165">
        <v>45944</v>
      </c>
      <c r="I63" s="165">
        <v>45945</v>
      </c>
      <c r="J63" s="252">
        <f t="shared" si="2"/>
        <v>2</v>
      </c>
      <c r="K63" s="252">
        <v>61</v>
      </c>
      <c r="L63" s="252">
        <f t="shared" si="1"/>
        <v>2</v>
      </c>
      <c r="M63" s="165">
        <v>45944</v>
      </c>
      <c r="N63" s="165">
        <v>45945</v>
      </c>
    </row>
    <row r="64" spans="1:22">
      <c r="B64" s="20" t="s">
        <v>95</v>
      </c>
      <c r="C64" s="22" t="s">
        <v>95</v>
      </c>
      <c r="E64" s="26" t="s">
        <v>95</v>
      </c>
      <c r="F64" s="161">
        <v>63</v>
      </c>
      <c r="G64" s="114" t="s">
        <v>150</v>
      </c>
      <c r="H64" s="165">
        <v>45945</v>
      </c>
      <c r="I64" s="165">
        <v>45947</v>
      </c>
      <c r="J64" s="252">
        <f t="shared" si="2"/>
        <v>3</v>
      </c>
      <c r="K64" s="252">
        <v>62</v>
      </c>
      <c r="L64" s="252">
        <f t="shared" si="1"/>
        <v>3</v>
      </c>
      <c r="M64" s="165">
        <v>45945</v>
      </c>
      <c r="N64" s="165">
        <v>45947</v>
      </c>
    </row>
    <row r="65" spans="1:14">
      <c r="B65" s="20" t="s">
        <v>95</v>
      </c>
      <c r="C65" s="22" t="s">
        <v>95</v>
      </c>
      <c r="E65" s="26" t="s">
        <v>95</v>
      </c>
      <c r="F65" s="161">
        <v>64</v>
      </c>
      <c r="G65" s="115" t="s">
        <v>123</v>
      </c>
      <c r="H65" s="165">
        <v>45945</v>
      </c>
      <c r="I65" s="165">
        <v>45945</v>
      </c>
      <c r="J65" s="252">
        <f t="shared" si="2"/>
        <v>1</v>
      </c>
      <c r="K65" s="252">
        <v>63</v>
      </c>
      <c r="L65" s="252">
        <f t="shared" si="1"/>
        <v>1</v>
      </c>
      <c r="M65" s="165">
        <v>45945</v>
      </c>
      <c r="N65" s="165">
        <v>45945</v>
      </c>
    </row>
    <row r="66" spans="1:14">
      <c r="A66" s="17" t="s">
        <v>95</v>
      </c>
      <c r="B66" s="20" t="s">
        <v>95</v>
      </c>
      <c r="F66" s="161">
        <v>65</v>
      </c>
      <c r="G66" s="115" t="s">
        <v>151</v>
      </c>
      <c r="H66" s="165">
        <v>45945</v>
      </c>
      <c r="I66" s="165">
        <v>45946</v>
      </c>
      <c r="J66" s="252">
        <f t="shared" ref="J66:J97" si="3">DAYS360(H66,I66)+1</f>
        <v>2</v>
      </c>
      <c r="K66" s="252">
        <v>64</v>
      </c>
      <c r="L66" s="252">
        <f t="shared" si="1"/>
        <v>2</v>
      </c>
      <c r="M66" s="165">
        <v>45945</v>
      </c>
      <c r="N66" s="165">
        <v>45946</v>
      </c>
    </row>
    <row r="67" spans="1:14">
      <c r="A67" s="17" t="s">
        <v>95</v>
      </c>
      <c r="B67" s="20" t="s">
        <v>95</v>
      </c>
      <c r="F67" s="161">
        <v>66</v>
      </c>
      <c r="G67" s="115" t="s">
        <v>152</v>
      </c>
      <c r="H67" s="165">
        <v>45945</v>
      </c>
      <c r="I67" s="165">
        <v>45947</v>
      </c>
      <c r="J67" s="252">
        <f t="shared" si="3"/>
        <v>3</v>
      </c>
      <c r="K67" s="252">
        <v>65</v>
      </c>
      <c r="L67" s="252">
        <f t="shared" ref="L67:L130" si="4">DAYS360(M67,N67)+1</f>
        <v>3</v>
      </c>
      <c r="M67" s="165">
        <v>45945</v>
      </c>
      <c r="N67" s="165">
        <v>45947</v>
      </c>
    </row>
    <row r="68" spans="1:14">
      <c r="A68" s="17" t="s">
        <v>95</v>
      </c>
      <c r="B68" s="20" t="s">
        <v>95</v>
      </c>
      <c r="C68" s="22" t="s">
        <v>95</v>
      </c>
      <c r="F68" s="161">
        <v>67</v>
      </c>
      <c r="G68" s="114" t="s">
        <v>153</v>
      </c>
      <c r="H68" s="165">
        <v>45945</v>
      </c>
      <c r="I68" s="165">
        <v>45949</v>
      </c>
      <c r="J68" s="252">
        <f t="shared" si="3"/>
        <v>5</v>
      </c>
      <c r="K68" s="252">
        <v>66</v>
      </c>
      <c r="L68" s="252">
        <f t="shared" si="4"/>
        <v>5</v>
      </c>
      <c r="M68" s="165">
        <v>45945</v>
      </c>
      <c r="N68" s="165">
        <v>45949</v>
      </c>
    </row>
    <row r="69" spans="1:14">
      <c r="B69" s="20" t="s">
        <v>95</v>
      </c>
      <c r="C69" s="22" t="s">
        <v>95</v>
      </c>
      <c r="F69" s="161">
        <v>68</v>
      </c>
      <c r="G69" s="115" t="s">
        <v>123</v>
      </c>
      <c r="H69" s="165">
        <v>45945</v>
      </c>
      <c r="I69" s="165">
        <v>45945</v>
      </c>
      <c r="J69" s="252">
        <f t="shared" si="3"/>
        <v>1</v>
      </c>
      <c r="K69" s="252">
        <v>67</v>
      </c>
      <c r="L69" s="252">
        <f t="shared" si="4"/>
        <v>1</v>
      </c>
      <c r="M69" s="165">
        <v>45945</v>
      </c>
      <c r="N69" s="165">
        <v>45945</v>
      </c>
    </row>
    <row r="70" spans="1:14">
      <c r="A70" s="17" t="s">
        <v>95</v>
      </c>
      <c r="F70" s="161">
        <v>69</v>
      </c>
      <c r="G70" s="115" t="s">
        <v>154</v>
      </c>
      <c r="H70" s="165">
        <v>45945</v>
      </c>
      <c r="I70" s="165">
        <v>45947</v>
      </c>
      <c r="J70" s="252">
        <f t="shared" si="3"/>
        <v>3</v>
      </c>
      <c r="K70" s="252">
        <v>68</v>
      </c>
      <c r="L70" s="252">
        <f t="shared" si="4"/>
        <v>3</v>
      </c>
      <c r="M70" s="165">
        <v>45945</v>
      </c>
      <c r="N70" s="165">
        <v>45947</v>
      </c>
    </row>
    <row r="71" spans="1:14">
      <c r="A71" s="17" t="s">
        <v>95</v>
      </c>
      <c r="F71" s="161">
        <v>70</v>
      </c>
      <c r="G71" s="115" t="s">
        <v>155</v>
      </c>
      <c r="H71" s="165">
        <v>45947</v>
      </c>
      <c r="I71" s="165">
        <v>45948</v>
      </c>
      <c r="J71" s="252">
        <f t="shared" si="3"/>
        <v>2</v>
      </c>
      <c r="K71" s="252">
        <v>69</v>
      </c>
      <c r="L71" s="252">
        <f t="shared" si="4"/>
        <v>2</v>
      </c>
      <c r="M71" s="165">
        <v>45947</v>
      </c>
      <c r="N71" s="165">
        <v>45948</v>
      </c>
    </row>
    <row r="72" spans="1:14">
      <c r="A72" s="17" t="s">
        <v>95</v>
      </c>
      <c r="F72" s="163">
        <v>71</v>
      </c>
      <c r="G72" s="115" t="s">
        <v>156</v>
      </c>
      <c r="H72" s="165">
        <v>45948</v>
      </c>
      <c r="I72" s="165">
        <v>45949</v>
      </c>
      <c r="J72" s="252">
        <f t="shared" si="3"/>
        <v>2</v>
      </c>
      <c r="K72" s="252">
        <v>70</v>
      </c>
      <c r="L72" s="252">
        <f t="shared" si="4"/>
        <v>2</v>
      </c>
      <c r="M72" s="165">
        <v>45948</v>
      </c>
      <c r="N72" s="165">
        <v>45949</v>
      </c>
    </row>
    <row r="73" spans="1:14" ht="15.75">
      <c r="B73" s="20" t="s">
        <v>95</v>
      </c>
      <c r="C73" s="22" t="s">
        <v>95</v>
      </c>
      <c r="E73" s="26" t="s">
        <v>95</v>
      </c>
      <c r="F73" s="162">
        <v>72</v>
      </c>
      <c r="G73" s="49" t="s">
        <v>157</v>
      </c>
      <c r="H73" s="165">
        <v>45949</v>
      </c>
      <c r="I73" s="165">
        <v>45951</v>
      </c>
      <c r="J73" s="252">
        <f t="shared" si="3"/>
        <v>3</v>
      </c>
      <c r="K73" s="252">
        <v>71</v>
      </c>
      <c r="L73" s="252">
        <f t="shared" si="4"/>
        <v>3</v>
      </c>
      <c r="M73" s="165">
        <v>45949</v>
      </c>
      <c r="N73" s="165">
        <v>45951</v>
      </c>
    </row>
    <row r="74" spans="1:14">
      <c r="B74" s="20" t="s">
        <v>95</v>
      </c>
      <c r="C74" s="22" t="s">
        <v>95</v>
      </c>
      <c r="E74" s="26" t="s">
        <v>95</v>
      </c>
      <c r="F74" s="161">
        <v>73</v>
      </c>
      <c r="G74" s="114" t="s">
        <v>158</v>
      </c>
      <c r="H74" s="165">
        <v>45949</v>
      </c>
      <c r="I74" s="165">
        <v>45949</v>
      </c>
      <c r="J74" s="252">
        <f t="shared" si="3"/>
        <v>1</v>
      </c>
      <c r="K74" s="252">
        <v>72</v>
      </c>
      <c r="L74" s="252">
        <f t="shared" si="4"/>
        <v>1</v>
      </c>
      <c r="M74" s="165">
        <v>45949</v>
      </c>
      <c r="N74" s="165">
        <v>45949</v>
      </c>
    </row>
    <row r="75" spans="1:14">
      <c r="B75" s="20" t="s">
        <v>95</v>
      </c>
      <c r="C75" s="22" t="s">
        <v>95</v>
      </c>
      <c r="E75" s="26" t="s">
        <v>95</v>
      </c>
      <c r="F75" s="161">
        <v>74</v>
      </c>
      <c r="G75" s="115" t="s">
        <v>123</v>
      </c>
      <c r="H75" s="165">
        <v>45949</v>
      </c>
      <c r="I75" s="165">
        <v>45949</v>
      </c>
      <c r="J75" s="252">
        <f t="shared" si="3"/>
        <v>1</v>
      </c>
      <c r="K75" s="252">
        <v>73</v>
      </c>
      <c r="L75" s="252">
        <f t="shared" si="4"/>
        <v>1</v>
      </c>
      <c r="M75" s="165">
        <v>45949</v>
      </c>
      <c r="N75" s="165">
        <v>45949</v>
      </c>
    </row>
    <row r="76" spans="1:14">
      <c r="B76" s="20" t="s">
        <v>95</v>
      </c>
      <c r="F76" s="161">
        <v>75</v>
      </c>
      <c r="G76" s="115" t="s">
        <v>159</v>
      </c>
      <c r="H76" s="165">
        <v>45949</v>
      </c>
      <c r="I76" s="165">
        <v>45949</v>
      </c>
      <c r="J76" s="252">
        <f t="shared" si="3"/>
        <v>1</v>
      </c>
      <c r="K76" s="252">
        <v>74</v>
      </c>
      <c r="L76" s="252">
        <f t="shared" si="4"/>
        <v>1</v>
      </c>
      <c r="M76" s="165">
        <v>45949</v>
      </c>
      <c r="N76" s="165">
        <v>45949</v>
      </c>
    </row>
    <row r="77" spans="1:14">
      <c r="B77" s="20" t="s">
        <v>95</v>
      </c>
      <c r="F77" s="161">
        <v>76</v>
      </c>
      <c r="G77" s="115" t="s">
        <v>160</v>
      </c>
      <c r="H77" s="165">
        <v>45950</v>
      </c>
      <c r="I77" s="165">
        <v>45951</v>
      </c>
      <c r="J77" s="252">
        <f t="shared" si="3"/>
        <v>2</v>
      </c>
      <c r="K77" s="252">
        <v>75</v>
      </c>
      <c r="L77" s="252">
        <f t="shared" si="4"/>
        <v>2</v>
      </c>
      <c r="M77" s="165">
        <v>45950</v>
      </c>
      <c r="N77" s="165">
        <v>45951</v>
      </c>
    </row>
    <row r="78" spans="1:14">
      <c r="B78" s="20" t="s">
        <v>95</v>
      </c>
      <c r="C78" s="22" t="s">
        <v>95</v>
      </c>
      <c r="E78" s="26" t="s">
        <v>95</v>
      </c>
      <c r="F78" s="161">
        <v>77</v>
      </c>
      <c r="G78" s="114" t="s">
        <v>161</v>
      </c>
      <c r="H78" s="165">
        <v>45949</v>
      </c>
      <c r="I78" s="165">
        <v>45949</v>
      </c>
      <c r="J78" s="252">
        <f t="shared" si="3"/>
        <v>1</v>
      </c>
      <c r="K78" s="252">
        <v>76</v>
      </c>
      <c r="L78" s="252">
        <f t="shared" si="4"/>
        <v>1</v>
      </c>
      <c r="M78" s="165">
        <v>45949</v>
      </c>
      <c r="N78" s="165">
        <v>45949</v>
      </c>
    </row>
    <row r="79" spans="1:14">
      <c r="B79" s="20" t="s">
        <v>95</v>
      </c>
      <c r="C79" s="22" t="s">
        <v>95</v>
      </c>
      <c r="E79" s="26" t="s">
        <v>95</v>
      </c>
      <c r="F79" s="161">
        <v>78</v>
      </c>
      <c r="G79" s="115" t="s">
        <v>123</v>
      </c>
      <c r="H79" s="165">
        <v>45949</v>
      </c>
      <c r="I79" s="165">
        <v>45949</v>
      </c>
      <c r="J79" s="252">
        <f t="shared" si="3"/>
        <v>1</v>
      </c>
      <c r="K79" s="252">
        <v>77</v>
      </c>
      <c r="L79" s="252">
        <f t="shared" si="4"/>
        <v>1</v>
      </c>
      <c r="M79" s="165">
        <v>45949</v>
      </c>
      <c r="N79" s="165">
        <v>45949</v>
      </c>
    </row>
    <row r="80" spans="1:14">
      <c r="B80" s="20" t="s">
        <v>95</v>
      </c>
      <c r="C80" s="22" t="s">
        <v>95</v>
      </c>
      <c r="F80" s="161">
        <v>79</v>
      </c>
      <c r="G80" s="115" t="s">
        <v>162</v>
      </c>
      <c r="H80" s="165">
        <v>45949</v>
      </c>
      <c r="I80" s="165">
        <v>45949</v>
      </c>
      <c r="J80" s="252">
        <f t="shared" si="3"/>
        <v>1</v>
      </c>
      <c r="K80" s="252">
        <v>78</v>
      </c>
      <c r="L80" s="252">
        <f t="shared" si="4"/>
        <v>1</v>
      </c>
      <c r="M80" s="165">
        <v>45949</v>
      </c>
      <c r="N80" s="165">
        <v>45949</v>
      </c>
    </row>
    <row r="81" spans="1:14" ht="18.75">
      <c r="A81" s="17" t="s">
        <v>95</v>
      </c>
      <c r="E81" s="26" t="s">
        <v>95</v>
      </c>
      <c r="F81" s="160">
        <v>80</v>
      </c>
      <c r="G81" s="48" t="s">
        <v>163</v>
      </c>
      <c r="H81" s="165">
        <v>45951</v>
      </c>
      <c r="I81" s="165">
        <v>45956</v>
      </c>
      <c r="J81" s="252">
        <f t="shared" si="3"/>
        <v>6</v>
      </c>
      <c r="K81" s="252">
        <v>79</v>
      </c>
      <c r="L81" s="252">
        <f t="shared" si="4"/>
        <v>6</v>
      </c>
      <c r="M81" s="165">
        <v>45951</v>
      </c>
      <c r="N81" s="165">
        <v>45956</v>
      </c>
    </row>
    <row r="82" spans="1:14" ht="15.75">
      <c r="A82" s="17" t="s">
        <v>95</v>
      </c>
      <c r="E82" s="26" t="s">
        <v>95</v>
      </c>
      <c r="F82" s="162">
        <v>81</v>
      </c>
      <c r="G82" s="49" t="s">
        <v>164</v>
      </c>
      <c r="H82" s="165">
        <v>45951</v>
      </c>
      <c r="I82" s="165">
        <v>45952</v>
      </c>
      <c r="J82" s="252">
        <f t="shared" si="3"/>
        <v>2</v>
      </c>
      <c r="K82" s="252">
        <v>80</v>
      </c>
      <c r="L82" s="252">
        <f t="shared" si="4"/>
        <v>2</v>
      </c>
      <c r="M82" s="165">
        <v>45951</v>
      </c>
      <c r="N82" s="165">
        <v>45952</v>
      </c>
    </row>
    <row r="83" spans="1:14">
      <c r="B83" s="20" t="s">
        <v>95</v>
      </c>
      <c r="C83" s="22" t="s">
        <v>95</v>
      </c>
      <c r="E83" s="26" t="s">
        <v>95</v>
      </c>
      <c r="F83" s="161">
        <v>82</v>
      </c>
      <c r="G83" s="27" t="s">
        <v>165</v>
      </c>
      <c r="H83" s="165">
        <v>45951</v>
      </c>
      <c r="I83" s="165">
        <v>45952</v>
      </c>
      <c r="J83" s="252">
        <f t="shared" si="3"/>
        <v>2</v>
      </c>
      <c r="K83" s="252">
        <v>81</v>
      </c>
      <c r="L83" s="252">
        <f t="shared" si="4"/>
        <v>2</v>
      </c>
      <c r="M83" s="165">
        <v>45951</v>
      </c>
      <c r="N83" s="165">
        <v>45952</v>
      </c>
    </row>
    <row r="84" spans="1:14">
      <c r="A84" s="17" t="s">
        <v>95</v>
      </c>
      <c r="F84" s="161">
        <v>83</v>
      </c>
      <c r="G84" s="115" t="s">
        <v>166</v>
      </c>
      <c r="H84" s="165">
        <v>45951</v>
      </c>
      <c r="I84" s="165">
        <v>45952</v>
      </c>
      <c r="J84" s="252">
        <f t="shared" si="3"/>
        <v>2</v>
      </c>
      <c r="K84" s="252">
        <v>82</v>
      </c>
      <c r="L84" s="252">
        <f t="shared" si="4"/>
        <v>2</v>
      </c>
      <c r="M84" s="165">
        <v>45951</v>
      </c>
      <c r="N84" s="165">
        <v>45952</v>
      </c>
    </row>
    <row r="85" spans="1:14">
      <c r="A85" s="17" t="s">
        <v>95</v>
      </c>
      <c r="F85" s="161">
        <v>84</v>
      </c>
      <c r="G85" s="115" t="s">
        <v>167</v>
      </c>
      <c r="H85" s="165">
        <v>45951</v>
      </c>
      <c r="I85" s="165">
        <v>45952</v>
      </c>
      <c r="J85" s="252">
        <f t="shared" si="3"/>
        <v>2</v>
      </c>
      <c r="K85" s="252">
        <v>83</v>
      </c>
      <c r="L85" s="252">
        <f t="shared" si="4"/>
        <v>2</v>
      </c>
      <c r="M85" s="165">
        <v>45951</v>
      </c>
      <c r="N85" s="165">
        <v>45952</v>
      </c>
    </row>
    <row r="86" spans="1:14" ht="15.75">
      <c r="A86" s="17" t="s">
        <v>95</v>
      </c>
      <c r="B86" s="20" t="s">
        <v>95</v>
      </c>
      <c r="C86" s="22" t="s">
        <v>95</v>
      </c>
      <c r="F86" s="162">
        <v>85</v>
      </c>
      <c r="G86" s="49" t="s">
        <v>168</v>
      </c>
      <c r="H86" s="165">
        <v>45951</v>
      </c>
      <c r="I86" s="165">
        <v>45952</v>
      </c>
      <c r="J86" s="252">
        <f t="shared" si="3"/>
        <v>2</v>
      </c>
      <c r="K86" s="252">
        <v>84</v>
      </c>
      <c r="L86" s="252">
        <f t="shared" si="4"/>
        <v>2</v>
      </c>
      <c r="M86" s="165">
        <v>45951</v>
      </c>
      <c r="N86" s="165">
        <v>45952</v>
      </c>
    </row>
    <row r="87" spans="1:14">
      <c r="B87" s="20" t="s">
        <v>95</v>
      </c>
      <c r="C87" s="22" t="s">
        <v>95</v>
      </c>
      <c r="F87" s="161">
        <v>86</v>
      </c>
      <c r="G87" s="27" t="s">
        <v>169</v>
      </c>
      <c r="H87" s="165">
        <v>45951</v>
      </c>
      <c r="I87" s="165">
        <v>45952</v>
      </c>
      <c r="J87" s="252">
        <f t="shared" si="3"/>
        <v>2</v>
      </c>
      <c r="K87" s="252">
        <v>85</v>
      </c>
      <c r="L87" s="252">
        <f t="shared" si="4"/>
        <v>2</v>
      </c>
      <c r="M87" s="165">
        <v>45951</v>
      </c>
      <c r="N87" s="165">
        <v>45952</v>
      </c>
    </row>
    <row r="88" spans="1:14">
      <c r="F88" s="161">
        <v>87</v>
      </c>
      <c r="G88" s="115" t="s">
        <v>170</v>
      </c>
      <c r="H88" s="165">
        <v>45951</v>
      </c>
      <c r="I88" s="165">
        <v>45952</v>
      </c>
      <c r="J88" s="252">
        <f t="shared" si="3"/>
        <v>2</v>
      </c>
      <c r="K88" s="252">
        <v>86</v>
      </c>
      <c r="L88" s="252">
        <f t="shared" si="4"/>
        <v>2</v>
      </c>
      <c r="M88" s="165">
        <v>45951</v>
      </c>
      <c r="N88" s="165">
        <v>45952</v>
      </c>
    </row>
    <row r="89" spans="1:14">
      <c r="F89" s="161">
        <v>88</v>
      </c>
      <c r="G89" s="115" t="s">
        <v>171</v>
      </c>
      <c r="H89" s="165">
        <v>45951</v>
      </c>
      <c r="I89" s="165">
        <v>45952</v>
      </c>
      <c r="J89" s="252">
        <f t="shared" si="3"/>
        <v>2</v>
      </c>
      <c r="K89" s="252">
        <v>87</v>
      </c>
      <c r="L89" s="252">
        <f t="shared" si="4"/>
        <v>2</v>
      </c>
      <c r="M89" s="165">
        <v>45951</v>
      </c>
      <c r="N89" s="165">
        <v>45952</v>
      </c>
    </row>
    <row r="90" spans="1:14" ht="15.75">
      <c r="A90" s="17" t="s">
        <v>95</v>
      </c>
      <c r="B90" s="20" t="s">
        <v>95</v>
      </c>
      <c r="C90" s="22" t="s">
        <v>95</v>
      </c>
      <c r="E90" s="26" t="s">
        <v>95</v>
      </c>
      <c r="F90" s="162">
        <v>89</v>
      </c>
      <c r="G90" s="116" t="s">
        <v>172</v>
      </c>
      <c r="H90" s="165">
        <v>45952</v>
      </c>
      <c r="I90" s="165">
        <v>45953</v>
      </c>
      <c r="J90" s="252">
        <f t="shared" si="3"/>
        <v>2</v>
      </c>
      <c r="K90" s="252">
        <v>88</v>
      </c>
      <c r="L90" s="252">
        <f t="shared" si="4"/>
        <v>2</v>
      </c>
      <c r="M90" s="165">
        <v>45952</v>
      </c>
      <c r="N90" s="165">
        <v>45953</v>
      </c>
    </row>
    <row r="91" spans="1:14">
      <c r="A91" s="17" t="s">
        <v>95</v>
      </c>
      <c r="B91" s="20" t="s">
        <v>95</v>
      </c>
      <c r="C91" s="22" t="s">
        <v>95</v>
      </c>
      <c r="E91" s="26" t="s">
        <v>95</v>
      </c>
      <c r="F91" s="161">
        <v>90</v>
      </c>
      <c r="G91" s="117" t="s">
        <v>122</v>
      </c>
      <c r="H91" s="165">
        <v>45952</v>
      </c>
      <c r="I91" s="165">
        <v>45953</v>
      </c>
      <c r="J91" s="252">
        <f t="shared" si="3"/>
        <v>2</v>
      </c>
      <c r="K91" s="252">
        <v>89</v>
      </c>
      <c r="L91" s="252">
        <f t="shared" si="4"/>
        <v>2</v>
      </c>
      <c r="M91" s="165">
        <v>45952</v>
      </c>
      <c r="N91" s="165">
        <v>45953</v>
      </c>
    </row>
    <row r="92" spans="1:14">
      <c r="B92" s="20" t="s">
        <v>95</v>
      </c>
      <c r="C92" s="22" t="s">
        <v>95</v>
      </c>
      <c r="E92" s="26" t="s">
        <v>95</v>
      </c>
      <c r="F92" s="161">
        <v>91</v>
      </c>
      <c r="G92" s="118" t="s">
        <v>123</v>
      </c>
      <c r="H92" s="165">
        <v>45952</v>
      </c>
      <c r="I92" s="165">
        <v>45953</v>
      </c>
      <c r="J92" s="252">
        <f t="shared" si="3"/>
        <v>2</v>
      </c>
      <c r="K92" s="252">
        <v>90</v>
      </c>
      <c r="L92" s="252">
        <f t="shared" si="4"/>
        <v>2</v>
      </c>
      <c r="M92" s="165">
        <v>45952</v>
      </c>
      <c r="N92" s="165">
        <v>45953</v>
      </c>
    </row>
    <row r="93" spans="1:14">
      <c r="A93" s="17" t="s">
        <v>95</v>
      </c>
      <c r="F93" s="161">
        <v>92</v>
      </c>
      <c r="G93" s="81" t="s">
        <v>173</v>
      </c>
      <c r="H93" s="165">
        <v>45952</v>
      </c>
      <c r="I93" s="165">
        <v>45953</v>
      </c>
      <c r="J93" s="252">
        <f t="shared" si="3"/>
        <v>2</v>
      </c>
      <c r="K93" s="252">
        <v>91</v>
      </c>
      <c r="L93" s="252">
        <f t="shared" si="4"/>
        <v>2</v>
      </c>
      <c r="M93" s="165">
        <v>45952</v>
      </c>
      <c r="N93" s="165">
        <v>45953</v>
      </c>
    </row>
    <row r="94" spans="1:14">
      <c r="A94" s="17" t="s">
        <v>95</v>
      </c>
      <c r="F94" s="161">
        <v>93</v>
      </c>
      <c r="G94" s="118" t="s">
        <v>174</v>
      </c>
      <c r="H94" s="165">
        <v>45952</v>
      </c>
      <c r="I94" s="165">
        <v>45953</v>
      </c>
      <c r="J94" s="252">
        <f t="shared" si="3"/>
        <v>2</v>
      </c>
      <c r="K94" s="252">
        <v>92</v>
      </c>
      <c r="L94" s="252">
        <f t="shared" si="4"/>
        <v>2</v>
      </c>
      <c r="M94" s="165">
        <v>45952</v>
      </c>
      <c r="N94" s="165">
        <v>45953</v>
      </c>
    </row>
    <row r="95" spans="1:14">
      <c r="A95" s="17" t="s">
        <v>95</v>
      </c>
      <c r="B95" s="20" t="s">
        <v>95</v>
      </c>
      <c r="C95" s="22" t="s">
        <v>95</v>
      </c>
      <c r="E95" s="26" t="s">
        <v>95</v>
      </c>
      <c r="F95" s="161">
        <v>94</v>
      </c>
      <c r="G95" s="117" t="s">
        <v>175</v>
      </c>
      <c r="H95" s="165">
        <v>45952</v>
      </c>
      <c r="I95" s="165">
        <v>45953</v>
      </c>
      <c r="J95" s="252">
        <f t="shared" si="3"/>
        <v>2</v>
      </c>
      <c r="K95" s="252">
        <v>93</v>
      </c>
      <c r="L95" s="252">
        <f t="shared" si="4"/>
        <v>2</v>
      </c>
      <c r="M95" s="165">
        <v>45952</v>
      </c>
      <c r="N95" s="165">
        <v>45953</v>
      </c>
    </row>
    <row r="96" spans="1:14">
      <c r="B96" s="20" t="s">
        <v>95</v>
      </c>
      <c r="C96" s="22" t="s">
        <v>95</v>
      </c>
      <c r="E96" s="26" t="s">
        <v>95</v>
      </c>
      <c r="F96" s="161">
        <v>95</v>
      </c>
      <c r="G96" s="118" t="s">
        <v>123</v>
      </c>
      <c r="H96" s="165">
        <v>45952</v>
      </c>
      <c r="I96" s="165">
        <v>45953</v>
      </c>
      <c r="J96" s="252">
        <f t="shared" si="3"/>
        <v>2</v>
      </c>
      <c r="K96" s="252">
        <v>94</v>
      </c>
      <c r="L96" s="252">
        <f t="shared" si="4"/>
        <v>2</v>
      </c>
      <c r="M96" s="165">
        <v>45952</v>
      </c>
      <c r="N96" s="165">
        <v>45953</v>
      </c>
    </row>
    <row r="97" spans="1:14">
      <c r="A97" s="17" t="s">
        <v>95</v>
      </c>
      <c r="F97" s="161">
        <v>96</v>
      </c>
      <c r="G97" s="81" t="s">
        <v>176</v>
      </c>
      <c r="H97" s="165">
        <v>45952</v>
      </c>
      <c r="I97" s="165">
        <v>45953</v>
      </c>
      <c r="J97" s="252">
        <f t="shared" si="3"/>
        <v>2</v>
      </c>
      <c r="K97" s="252">
        <v>95</v>
      </c>
      <c r="L97" s="252">
        <f t="shared" si="4"/>
        <v>2</v>
      </c>
      <c r="M97" s="165">
        <v>45952</v>
      </c>
      <c r="N97" s="165">
        <v>45953</v>
      </c>
    </row>
    <row r="98" spans="1:14">
      <c r="A98" s="17" t="s">
        <v>95</v>
      </c>
      <c r="F98" s="161">
        <v>97</v>
      </c>
      <c r="G98" s="118" t="s">
        <v>177</v>
      </c>
      <c r="H98" s="165">
        <v>45952</v>
      </c>
      <c r="I98" s="165">
        <v>45953</v>
      </c>
      <c r="J98" s="252">
        <f t="shared" ref="J98:J129" si="5">DAYS360(H98,I98)+1</f>
        <v>2</v>
      </c>
      <c r="K98" s="252">
        <v>96</v>
      </c>
      <c r="L98" s="252">
        <f t="shared" si="4"/>
        <v>2</v>
      </c>
      <c r="M98" s="165">
        <v>45952</v>
      </c>
      <c r="N98" s="165">
        <v>45953</v>
      </c>
    </row>
    <row r="99" spans="1:14">
      <c r="A99" s="17" t="s">
        <v>95</v>
      </c>
      <c r="B99" s="20" t="s">
        <v>95</v>
      </c>
      <c r="C99" s="22" t="s">
        <v>95</v>
      </c>
      <c r="E99" s="26" t="s">
        <v>95</v>
      </c>
      <c r="F99" s="161">
        <v>98</v>
      </c>
      <c r="G99" s="117" t="s">
        <v>178</v>
      </c>
      <c r="H99" s="165">
        <v>45952</v>
      </c>
      <c r="I99" s="165">
        <v>45953</v>
      </c>
      <c r="J99" s="252">
        <f t="shared" si="5"/>
        <v>2</v>
      </c>
      <c r="K99" s="252">
        <v>97</v>
      </c>
      <c r="L99" s="252">
        <f t="shared" si="4"/>
        <v>2</v>
      </c>
      <c r="M99" s="165">
        <v>45952</v>
      </c>
      <c r="N99" s="165">
        <v>45953</v>
      </c>
    </row>
    <row r="100" spans="1:14">
      <c r="B100" s="20" t="s">
        <v>95</v>
      </c>
      <c r="C100" s="22" t="s">
        <v>95</v>
      </c>
      <c r="E100" s="26" t="s">
        <v>95</v>
      </c>
      <c r="F100" s="161">
        <v>99</v>
      </c>
      <c r="G100" s="118" t="s">
        <v>123</v>
      </c>
      <c r="H100" s="165">
        <v>45952</v>
      </c>
      <c r="I100" s="165">
        <v>45953</v>
      </c>
      <c r="J100" s="252">
        <f t="shared" si="5"/>
        <v>2</v>
      </c>
      <c r="K100" s="252">
        <v>98</v>
      </c>
      <c r="L100" s="252">
        <f t="shared" si="4"/>
        <v>2</v>
      </c>
      <c r="M100" s="165">
        <v>45952</v>
      </c>
      <c r="N100" s="165">
        <v>45953</v>
      </c>
    </row>
    <row r="101" spans="1:14">
      <c r="A101" s="17" t="s">
        <v>95</v>
      </c>
      <c r="F101" s="161">
        <v>100</v>
      </c>
      <c r="G101" s="81" t="s">
        <v>179</v>
      </c>
      <c r="H101" s="165">
        <v>45952</v>
      </c>
      <c r="I101" s="165">
        <v>45953</v>
      </c>
      <c r="J101" s="252">
        <f t="shared" si="5"/>
        <v>2</v>
      </c>
      <c r="K101" s="252">
        <v>99</v>
      </c>
      <c r="L101" s="252">
        <f t="shared" si="4"/>
        <v>2</v>
      </c>
      <c r="M101" s="165">
        <v>45952</v>
      </c>
      <c r="N101" s="165">
        <v>45953</v>
      </c>
    </row>
    <row r="102" spans="1:14">
      <c r="A102" s="17" t="s">
        <v>95</v>
      </c>
      <c r="F102" s="161">
        <v>101</v>
      </c>
      <c r="G102" s="118" t="s">
        <v>180</v>
      </c>
      <c r="H102" s="165">
        <v>45952</v>
      </c>
      <c r="I102" s="165">
        <v>45953</v>
      </c>
      <c r="J102" s="252">
        <f t="shared" si="5"/>
        <v>2</v>
      </c>
      <c r="K102" s="252">
        <v>100</v>
      </c>
      <c r="L102" s="252">
        <f t="shared" si="4"/>
        <v>2</v>
      </c>
      <c r="M102" s="165">
        <v>45952</v>
      </c>
      <c r="N102" s="165">
        <v>45953</v>
      </c>
    </row>
    <row r="103" spans="1:14">
      <c r="A103" s="17" t="s">
        <v>95</v>
      </c>
      <c r="B103" s="20" t="s">
        <v>95</v>
      </c>
      <c r="C103" s="22" t="s">
        <v>95</v>
      </c>
      <c r="F103" s="161">
        <v>102</v>
      </c>
      <c r="G103" s="117" t="s">
        <v>181</v>
      </c>
      <c r="H103" s="165">
        <v>45952</v>
      </c>
      <c r="I103" s="165">
        <v>45953</v>
      </c>
      <c r="J103" s="252">
        <f t="shared" si="5"/>
        <v>2</v>
      </c>
      <c r="K103" s="252">
        <v>101</v>
      </c>
      <c r="L103" s="252">
        <f t="shared" si="4"/>
        <v>2</v>
      </c>
      <c r="M103" s="165">
        <v>45952</v>
      </c>
      <c r="N103" s="165">
        <v>45953</v>
      </c>
    </row>
    <row r="104" spans="1:14">
      <c r="B104" s="20" t="s">
        <v>95</v>
      </c>
      <c r="C104" s="22" t="s">
        <v>95</v>
      </c>
      <c r="F104" s="161">
        <v>103</v>
      </c>
      <c r="G104" s="118" t="s">
        <v>123</v>
      </c>
      <c r="H104" s="165">
        <v>45952</v>
      </c>
      <c r="I104" s="165">
        <v>45953</v>
      </c>
      <c r="J104" s="252">
        <f t="shared" si="5"/>
        <v>2</v>
      </c>
      <c r="K104" s="252">
        <v>102</v>
      </c>
      <c r="L104" s="252">
        <f t="shared" si="4"/>
        <v>2</v>
      </c>
      <c r="M104" s="165">
        <v>45952</v>
      </c>
      <c r="N104" s="165">
        <v>45953</v>
      </c>
    </row>
    <row r="105" spans="1:14">
      <c r="A105" s="17" t="s">
        <v>95</v>
      </c>
      <c r="F105" s="161">
        <v>104</v>
      </c>
      <c r="G105" s="81" t="s">
        <v>182</v>
      </c>
      <c r="H105" s="165">
        <v>45952</v>
      </c>
      <c r="I105" s="165">
        <v>45953</v>
      </c>
      <c r="J105" s="252">
        <f t="shared" si="5"/>
        <v>2</v>
      </c>
      <c r="K105" s="252">
        <v>103</v>
      </c>
      <c r="L105" s="252">
        <f t="shared" si="4"/>
        <v>2</v>
      </c>
      <c r="M105" s="165">
        <v>45952</v>
      </c>
      <c r="N105" s="165">
        <v>45953</v>
      </c>
    </row>
    <row r="106" spans="1:14">
      <c r="A106" s="17" t="s">
        <v>95</v>
      </c>
      <c r="F106" s="161">
        <v>105</v>
      </c>
      <c r="G106" s="118" t="s">
        <v>183</v>
      </c>
      <c r="H106" s="165">
        <v>45952</v>
      </c>
      <c r="I106" s="165">
        <v>45953</v>
      </c>
      <c r="J106" s="252">
        <f t="shared" si="5"/>
        <v>2</v>
      </c>
      <c r="K106" s="252">
        <v>104</v>
      </c>
      <c r="L106" s="252">
        <f t="shared" si="4"/>
        <v>2</v>
      </c>
      <c r="M106" s="165">
        <v>45952</v>
      </c>
      <c r="N106" s="165">
        <v>45953</v>
      </c>
    </row>
    <row r="107" spans="1:14">
      <c r="A107" s="17" t="s">
        <v>95</v>
      </c>
      <c r="B107" s="20" t="s">
        <v>95</v>
      </c>
      <c r="C107" s="22" t="s">
        <v>95</v>
      </c>
      <c r="E107" s="26" t="s">
        <v>95</v>
      </c>
      <c r="F107" s="161">
        <v>106</v>
      </c>
      <c r="G107" s="117" t="s">
        <v>127</v>
      </c>
      <c r="H107" s="165">
        <v>45952</v>
      </c>
      <c r="I107" s="165">
        <v>45953</v>
      </c>
      <c r="J107" s="252">
        <f t="shared" si="5"/>
        <v>2</v>
      </c>
      <c r="K107" s="252">
        <v>105</v>
      </c>
      <c r="L107" s="252">
        <f t="shared" si="4"/>
        <v>2</v>
      </c>
      <c r="M107" s="165">
        <v>45952</v>
      </c>
      <c r="N107" s="165">
        <v>45953</v>
      </c>
    </row>
    <row r="108" spans="1:14">
      <c r="B108" s="20" t="s">
        <v>95</v>
      </c>
      <c r="C108" s="22" t="s">
        <v>95</v>
      </c>
      <c r="E108" s="26" t="s">
        <v>95</v>
      </c>
      <c r="F108" s="161">
        <v>107</v>
      </c>
      <c r="G108" s="118" t="s">
        <v>123</v>
      </c>
      <c r="H108" s="165">
        <v>45952</v>
      </c>
      <c r="I108" s="165">
        <v>45953</v>
      </c>
      <c r="J108" s="252">
        <f t="shared" si="5"/>
        <v>2</v>
      </c>
      <c r="K108" s="252">
        <v>106</v>
      </c>
      <c r="L108" s="252">
        <f t="shared" si="4"/>
        <v>2</v>
      </c>
      <c r="M108" s="165">
        <v>45952</v>
      </c>
      <c r="N108" s="165">
        <v>45953</v>
      </c>
    </row>
    <row r="109" spans="1:14">
      <c r="A109" s="17" t="s">
        <v>95</v>
      </c>
      <c r="F109" s="161">
        <v>108</v>
      </c>
      <c r="G109" s="81" t="s">
        <v>184</v>
      </c>
      <c r="H109" s="165">
        <v>45952</v>
      </c>
      <c r="I109" s="165">
        <v>45953</v>
      </c>
      <c r="J109" s="252">
        <f t="shared" si="5"/>
        <v>2</v>
      </c>
      <c r="K109" s="252">
        <v>107</v>
      </c>
      <c r="L109" s="252">
        <f t="shared" si="4"/>
        <v>2</v>
      </c>
      <c r="M109" s="165">
        <v>45952</v>
      </c>
      <c r="N109" s="165">
        <v>45953</v>
      </c>
    </row>
    <row r="110" spans="1:14">
      <c r="A110" s="17" t="s">
        <v>95</v>
      </c>
      <c r="F110" s="161">
        <v>109</v>
      </c>
      <c r="G110" s="118" t="s">
        <v>185</v>
      </c>
      <c r="H110" s="165">
        <v>45952</v>
      </c>
      <c r="I110" s="165">
        <v>45953</v>
      </c>
      <c r="J110" s="252">
        <f t="shared" si="5"/>
        <v>2</v>
      </c>
      <c r="K110" s="252">
        <v>108</v>
      </c>
      <c r="L110" s="252">
        <f t="shared" si="4"/>
        <v>2</v>
      </c>
      <c r="M110" s="165">
        <v>45952</v>
      </c>
      <c r="N110" s="165">
        <v>45953</v>
      </c>
    </row>
    <row r="111" spans="1:14" ht="15.75">
      <c r="A111" s="17" t="s">
        <v>95</v>
      </c>
      <c r="B111" s="20" t="s">
        <v>95</v>
      </c>
      <c r="C111" s="22" t="s">
        <v>95</v>
      </c>
      <c r="E111" s="26" t="s">
        <v>95</v>
      </c>
      <c r="F111" s="162">
        <v>110</v>
      </c>
      <c r="G111" s="114" t="s">
        <v>186</v>
      </c>
      <c r="H111" s="165">
        <v>45953</v>
      </c>
      <c r="I111" s="165">
        <v>45954</v>
      </c>
      <c r="J111" s="252">
        <f t="shared" si="5"/>
        <v>2</v>
      </c>
      <c r="K111" s="252">
        <v>109</v>
      </c>
      <c r="L111" s="252">
        <f t="shared" si="4"/>
        <v>2</v>
      </c>
      <c r="M111" s="165">
        <v>45953</v>
      </c>
      <c r="N111" s="165">
        <v>45954</v>
      </c>
    </row>
    <row r="112" spans="1:14">
      <c r="A112" s="17" t="s">
        <v>95</v>
      </c>
      <c r="B112" s="20" t="s">
        <v>95</v>
      </c>
      <c r="C112" s="22" t="s">
        <v>95</v>
      </c>
      <c r="D112" s="25" t="s">
        <v>95</v>
      </c>
      <c r="E112" s="26" t="s">
        <v>95</v>
      </c>
      <c r="F112" s="161">
        <v>111</v>
      </c>
      <c r="G112" s="114" t="s">
        <v>122</v>
      </c>
      <c r="H112" s="165">
        <v>45953</v>
      </c>
      <c r="I112" s="165">
        <v>45954</v>
      </c>
      <c r="J112" s="252">
        <f t="shared" si="5"/>
        <v>2</v>
      </c>
      <c r="K112" s="252">
        <v>110</v>
      </c>
      <c r="L112" s="252">
        <f t="shared" si="4"/>
        <v>2</v>
      </c>
      <c r="M112" s="165">
        <v>45953</v>
      </c>
      <c r="N112" s="165">
        <v>45954</v>
      </c>
    </row>
    <row r="113" spans="1:14">
      <c r="B113" s="20" t="s">
        <v>95</v>
      </c>
      <c r="C113" s="22" t="s">
        <v>95</v>
      </c>
      <c r="E113" s="26" t="s">
        <v>95</v>
      </c>
      <c r="F113" s="161">
        <v>112</v>
      </c>
      <c r="G113" s="115" t="s">
        <v>123</v>
      </c>
      <c r="H113" s="165">
        <v>45953</v>
      </c>
      <c r="I113" s="165">
        <v>45954</v>
      </c>
      <c r="J113" s="252">
        <f t="shared" si="5"/>
        <v>2</v>
      </c>
      <c r="K113" s="252">
        <v>111</v>
      </c>
      <c r="L113" s="252">
        <f t="shared" si="4"/>
        <v>2</v>
      </c>
      <c r="M113" s="165">
        <v>45953</v>
      </c>
      <c r="N113" s="165">
        <v>45954</v>
      </c>
    </row>
    <row r="114" spans="1:14">
      <c r="A114" s="17" t="s">
        <v>95</v>
      </c>
      <c r="F114" s="161">
        <v>113</v>
      </c>
      <c r="G114" s="115" t="s">
        <v>187</v>
      </c>
      <c r="H114" s="165">
        <v>45953</v>
      </c>
      <c r="I114" s="165">
        <v>45954</v>
      </c>
      <c r="J114" s="252">
        <f t="shared" si="5"/>
        <v>2</v>
      </c>
      <c r="K114" s="252">
        <v>112</v>
      </c>
      <c r="L114" s="252">
        <f t="shared" si="4"/>
        <v>2</v>
      </c>
      <c r="M114" s="165">
        <v>45953</v>
      </c>
      <c r="N114" s="165">
        <v>45954</v>
      </c>
    </row>
    <row r="115" spans="1:14">
      <c r="B115" s="20" t="s">
        <v>95</v>
      </c>
      <c r="C115" s="22" t="s">
        <v>95</v>
      </c>
      <c r="D115" s="25" t="s">
        <v>95</v>
      </c>
      <c r="F115" s="161">
        <v>114</v>
      </c>
      <c r="G115" s="115" t="s">
        <v>188</v>
      </c>
      <c r="H115" s="165">
        <v>45953</v>
      </c>
      <c r="I115" s="165">
        <v>45954</v>
      </c>
      <c r="J115" s="252">
        <f t="shared" si="5"/>
        <v>2</v>
      </c>
      <c r="K115" s="252">
        <v>113</v>
      </c>
      <c r="L115" s="252">
        <f t="shared" si="4"/>
        <v>2</v>
      </c>
      <c r="M115" s="165">
        <v>45953</v>
      </c>
      <c r="N115" s="165">
        <v>45954</v>
      </c>
    </row>
    <row r="116" spans="1:14">
      <c r="A116" s="17" t="s">
        <v>95</v>
      </c>
      <c r="B116" s="20" t="s">
        <v>95</v>
      </c>
      <c r="C116" s="22" t="s">
        <v>95</v>
      </c>
      <c r="E116" s="26" t="s">
        <v>95</v>
      </c>
      <c r="F116" s="161">
        <v>115</v>
      </c>
      <c r="G116" s="114" t="s">
        <v>175</v>
      </c>
      <c r="H116" s="165">
        <v>45953</v>
      </c>
      <c r="I116" s="165">
        <v>45954</v>
      </c>
      <c r="J116" s="252">
        <f t="shared" si="5"/>
        <v>2</v>
      </c>
      <c r="K116" s="252">
        <v>114</v>
      </c>
      <c r="L116" s="252">
        <f t="shared" si="4"/>
        <v>2</v>
      </c>
      <c r="M116" s="165">
        <v>45953</v>
      </c>
      <c r="N116" s="165">
        <v>45954</v>
      </c>
    </row>
    <row r="117" spans="1:14">
      <c r="B117" s="20" t="s">
        <v>95</v>
      </c>
      <c r="C117" s="22" t="s">
        <v>95</v>
      </c>
      <c r="E117" s="26" t="s">
        <v>95</v>
      </c>
      <c r="F117" s="161">
        <v>116</v>
      </c>
      <c r="G117" s="115" t="s">
        <v>123</v>
      </c>
      <c r="H117" s="165">
        <v>45953</v>
      </c>
      <c r="I117" s="165">
        <v>45954</v>
      </c>
      <c r="J117" s="252">
        <f t="shared" si="5"/>
        <v>2</v>
      </c>
      <c r="K117" s="252">
        <v>115</v>
      </c>
      <c r="L117" s="252">
        <f t="shared" si="4"/>
        <v>2</v>
      </c>
      <c r="M117" s="165">
        <v>45953</v>
      </c>
      <c r="N117" s="165">
        <v>45954</v>
      </c>
    </row>
    <row r="118" spans="1:14">
      <c r="A118" s="17" t="s">
        <v>95</v>
      </c>
      <c r="F118" s="161">
        <v>117</v>
      </c>
      <c r="G118" s="115" t="s">
        <v>189</v>
      </c>
      <c r="H118" s="165">
        <v>45953</v>
      </c>
      <c r="I118" s="165">
        <v>45954</v>
      </c>
      <c r="J118" s="252">
        <f t="shared" si="5"/>
        <v>2</v>
      </c>
      <c r="K118" s="252">
        <v>116</v>
      </c>
      <c r="L118" s="252">
        <f t="shared" si="4"/>
        <v>2</v>
      </c>
      <c r="M118" s="165">
        <v>45953</v>
      </c>
      <c r="N118" s="165">
        <v>45954</v>
      </c>
    </row>
    <row r="119" spans="1:14">
      <c r="A119" s="17" t="s">
        <v>95</v>
      </c>
      <c r="F119" s="161">
        <v>118</v>
      </c>
      <c r="G119" s="115" t="s">
        <v>190</v>
      </c>
      <c r="H119" s="165">
        <v>45953</v>
      </c>
      <c r="I119" s="165">
        <v>45954</v>
      </c>
      <c r="J119" s="252">
        <f t="shared" si="5"/>
        <v>2</v>
      </c>
      <c r="K119" s="252">
        <v>117</v>
      </c>
      <c r="L119" s="252">
        <f t="shared" si="4"/>
        <v>2</v>
      </c>
      <c r="M119" s="165">
        <v>45953</v>
      </c>
      <c r="N119" s="165">
        <v>45954</v>
      </c>
    </row>
    <row r="120" spans="1:14">
      <c r="B120" s="20" t="s">
        <v>95</v>
      </c>
      <c r="C120" s="22" t="s">
        <v>95</v>
      </c>
      <c r="F120" s="161">
        <v>119</v>
      </c>
      <c r="G120" s="115" t="s">
        <v>191</v>
      </c>
      <c r="H120" s="165">
        <v>45953</v>
      </c>
      <c r="I120" s="165">
        <v>45954</v>
      </c>
      <c r="J120" s="252">
        <f t="shared" si="5"/>
        <v>2</v>
      </c>
      <c r="K120" s="252">
        <v>118</v>
      </c>
      <c r="L120" s="252">
        <f t="shared" si="4"/>
        <v>2</v>
      </c>
      <c r="M120" s="165">
        <v>45953</v>
      </c>
      <c r="N120" s="165">
        <v>45954</v>
      </c>
    </row>
    <row r="121" spans="1:14">
      <c r="A121" s="17" t="s">
        <v>95</v>
      </c>
      <c r="B121" s="20" t="s">
        <v>95</v>
      </c>
      <c r="C121" s="22" t="s">
        <v>95</v>
      </c>
      <c r="E121" s="26" t="s">
        <v>95</v>
      </c>
      <c r="F121" s="161">
        <v>120</v>
      </c>
      <c r="G121" s="117" t="s">
        <v>178</v>
      </c>
      <c r="H121" s="165">
        <v>45953</v>
      </c>
      <c r="I121" s="165">
        <v>45954</v>
      </c>
      <c r="J121" s="252">
        <f t="shared" si="5"/>
        <v>2</v>
      </c>
      <c r="K121" s="252">
        <v>119</v>
      </c>
      <c r="L121" s="252">
        <f t="shared" si="4"/>
        <v>2</v>
      </c>
      <c r="M121" s="165">
        <v>45953</v>
      </c>
      <c r="N121" s="165">
        <v>45954</v>
      </c>
    </row>
    <row r="122" spans="1:14">
      <c r="B122" s="20" t="s">
        <v>95</v>
      </c>
      <c r="C122" s="22" t="s">
        <v>95</v>
      </c>
      <c r="E122" s="26" t="s">
        <v>95</v>
      </c>
      <c r="F122" s="161">
        <v>121</v>
      </c>
      <c r="G122" s="118" t="s">
        <v>123</v>
      </c>
      <c r="H122" s="165">
        <v>45953</v>
      </c>
      <c r="I122" s="165">
        <v>45954</v>
      </c>
      <c r="J122" s="252">
        <f t="shared" si="5"/>
        <v>2</v>
      </c>
      <c r="K122" s="252">
        <v>120</v>
      </c>
      <c r="L122" s="252">
        <f t="shared" si="4"/>
        <v>2</v>
      </c>
      <c r="M122" s="165">
        <v>45953</v>
      </c>
      <c r="N122" s="165">
        <v>45954</v>
      </c>
    </row>
    <row r="123" spans="1:14">
      <c r="A123" s="17" t="s">
        <v>95</v>
      </c>
      <c r="F123" s="161">
        <v>122</v>
      </c>
      <c r="G123" s="81" t="s">
        <v>192</v>
      </c>
      <c r="H123" s="165">
        <v>45953</v>
      </c>
      <c r="I123" s="165">
        <v>45954</v>
      </c>
      <c r="J123" s="252">
        <f t="shared" si="5"/>
        <v>2</v>
      </c>
      <c r="K123" s="252">
        <v>121</v>
      </c>
      <c r="L123" s="252">
        <f t="shared" si="4"/>
        <v>2</v>
      </c>
      <c r="M123" s="165">
        <v>45953</v>
      </c>
      <c r="N123" s="165">
        <v>45954</v>
      </c>
    </row>
    <row r="124" spans="1:14">
      <c r="A124" s="17" t="s">
        <v>95</v>
      </c>
      <c r="F124" s="161">
        <v>123</v>
      </c>
      <c r="G124" s="118" t="s">
        <v>193</v>
      </c>
      <c r="H124" s="165">
        <v>45953</v>
      </c>
      <c r="I124" s="165">
        <v>45954</v>
      </c>
      <c r="J124" s="252">
        <f t="shared" si="5"/>
        <v>2</v>
      </c>
      <c r="K124" s="252">
        <v>122</v>
      </c>
      <c r="L124" s="252">
        <f t="shared" si="4"/>
        <v>2</v>
      </c>
      <c r="M124" s="165">
        <v>45953</v>
      </c>
      <c r="N124" s="165">
        <v>45954</v>
      </c>
    </row>
    <row r="125" spans="1:14">
      <c r="A125" s="17" t="s">
        <v>95</v>
      </c>
      <c r="B125" s="20" t="s">
        <v>95</v>
      </c>
      <c r="C125" s="22" t="s">
        <v>95</v>
      </c>
      <c r="F125" s="161">
        <v>124</v>
      </c>
      <c r="G125" s="117" t="s">
        <v>181</v>
      </c>
      <c r="H125" s="165">
        <v>45953</v>
      </c>
      <c r="I125" s="165">
        <v>45954</v>
      </c>
      <c r="J125" s="252">
        <f t="shared" si="5"/>
        <v>2</v>
      </c>
      <c r="K125" s="252">
        <v>123</v>
      </c>
      <c r="L125" s="252">
        <f t="shared" si="4"/>
        <v>2</v>
      </c>
      <c r="M125" s="165">
        <v>45953</v>
      </c>
      <c r="N125" s="165">
        <v>45954</v>
      </c>
    </row>
    <row r="126" spans="1:14">
      <c r="B126" s="20" t="s">
        <v>95</v>
      </c>
      <c r="C126" s="22" t="s">
        <v>95</v>
      </c>
      <c r="F126" s="161">
        <v>125</v>
      </c>
      <c r="G126" s="118" t="s">
        <v>123</v>
      </c>
      <c r="H126" s="165">
        <v>45953</v>
      </c>
      <c r="I126" s="165">
        <v>45954</v>
      </c>
      <c r="J126" s="252">
        <f t="shared" si="5"/>
        <v>2</v>
      </c>
      <c r="K126" s="252">
        <v>124</v>
      </c>
      <c r="L126" s="252">
        <f t="shared" si="4"/>
        <v>2</v>
      </c>
      <c r="M126" s="165">
        <v>45953</v>
      </c>
      <c r="N126" s="165">
        <v>45954</v>
      </c>
    </row>
    <row r="127" spans="1:14">
      <c r="A127" s="17" t="s">
        <v>95</v>
      </c>
      <c r="F127" s="161">
        <v>126</v>
      </c>
      <c r="G127" s="81" t="s">
        <v>182</v>
      </c>
      <c r="H127" s="165">
        <v>45953</v>
      </c>
      <c r="I127" s="165">
        <v>45954</v>
      </c>
      <c r="J127" s="252">
        <f t="shared" si="5"/>
        <v>2</v>
      </c>
      <c r="K127" s="252">
        <v>125</v>
      </c>
      <c r="L127" s="252">
        <f t="shared" si="4"/>
        <v>2</v>
      </c>
      <c r="M127" s="165">
        <v>45953</v>
      </c>
      <c r="N127" s="165">
        <v>45954</v>
      </c>
    </row>
    <row r="128" spans="1:14">
      <c r="A128" s="17" t="s">
        <v>95</v>
      </c>
      <c r="F128" s="161">
        <v>127</v>
      </c>
      <c r="G128" s="118" t="s">
        <v>194</v>
      </c>
      <c r="H128" s="165">
        <v>45953</v>
      </c>
      <c r="I128" s="165">
        <v>45954</v>
      </c>
      <c r="J128" s="252">
        <f t="shared" si="5"/>
        <v>2</v>
      </c>
      <c r="K128" s="252">
        <v>126</v>
      </c>
      <c r="L128" s="252">
        <f t="shared" si="4"/>
        <v>2</v>
      </c>
      <c r="M128" s="165">
        <v>45953</v>
      </c>
      <c r="N128" s="165">
        <v>45954</v>
      </c>
    </row>
    <row r="129" spans="1:14">
      <c r="A129" s="17" t="s">
        <v>95</v>
      </c>
      <c r="B129" s="20" t="s">
        <v>95</v>
      </c>
      <c r="C129" s="22" t="s">
        <v>95</v>
      </c>
      <c r="E129" s="26" t="s">
        <v>95</v>
      </c>
      <c r="F129" s="161">
        <v>128</v>
      </c>
      <c r="G129" s="117" t="s">
        <v>127</v>
      </c>
      <c r="H129" s="165">
        <v>45953</v>
      </c>
      <c r="I129" s="165">
        <v>45954</v>
      </c>
      <c r="J129" s="252">
        <f t="shared" si="5"/>
        <v>2</v>
      </c>
      <c r="K129" s="252">
        <v>127</v>
      </c>
      <c r="L129" s="252">
        <f t="shared" si="4"/>
        <v>2</v>
      </c>
      <c r="M129" s="165">
        <v>45953</v>
      </c>
      <c r="N129" s="165">
        <v>45954</v>
      </c>
    </row>
    <row r="130" spans="1:14">
      <c r="B130" s="20" t="s">
        <v>95</v>
      </c>
      <c r="C130" s="22" t="s">
        <v>95</v>
      </c>
      <c r="E130" s="26" t="s">
        <v>95</v>
      </c>
      <c r="F130" s="161">
        <v>129</v>
      </c>
      <c r="G130" s="118" t="s">
        <v>123</v>
      </c>
      <c r="H130" s="165">
        <v>45953</v>
      </c>
      <c r="I130" s="165">
        <v>45954</v>
      </c>
      <c r="J130" s="252">
        <f t="shared" ref="J130:J161" si="6">DAYS360(H130,I130)+1</f>
        <v>2</v>
      </c>
      <c r="K130" s="252">
        <v>128</v>
      </c>
      <c r="L130" s="252">
        <f t="shared" si="4"/>
        <v>2</v>
      </c>
      <c r="M130" s="165">
        <v>45953</v>
      </c>
      <c r="N130" s="165">
        <v>45954</v>
      </c>
    </row>
    <row r="131" spans="1:14">
      <c r="A131" s="17" t="s">
        <v>95</v>
      </c>
      <c r="F131" s="161">
        <v>130</v>
      </c>
      <c r="G131" s="81" t="s">
        <v>195</v>
      </c>
      <c r="H131" s="165">
        <v>45953</v>
      </c>
      <c r="I131" s="165">
        <v>45954</v>
      </c>
      <c r="J131" s="252">
        <f t="shared" si="6"/>
        <v>2</v>
      </c>
      <c r="K131" s="252">
        <v>129</v>
      </c>
      <c r="L131" s="252">
        <f t="shared" ref="L131:L178" si="7">DAYS360(M131,N131)+1</f>
        <v>2</v>
      </c>
      <c r="M131" s="165">
        <v>45953</v>
      </c>
      <c r="N131" s="165">
        <v>45954</v>
      </c>
    </row>
    <row r="132" spans="1:14">
      <c r="A132" s="17" t="s">
        <v>95</v>
      </c>
      <c r="B132" s="20" t="s">
        <v>95</v>
      </c>
      <c r="C132" s="22" t="s">
        <v>95</v>
      </c>
      <c r="F132" s="161">
        <v>131</v>
      </c>
      <c r="G132" s="118" t="s">
        <v>196</v>
      </c>
      <c r="H132" s="165">
        <v>45953</v>
      </c>
      <c r="I132" s="165">
        <v>45954</v>
      </c>
      <c r="J132" s="252">
        <f t="shared" si="6"/>
        <v>2</v>
      </c>
      <c r="K132" s="252">
        <v>130</v>
      </c>
      <c r="L132" s="252">
        <f t="shared" si="7"/>
        <v>2</v>
      </c>
      <c r="M132" s="165">
        <v>45953</v>
      </c>
      <c r="N132" s="165">
        <v>45954</v>
      </c>
    </row>
    <row r="133" spans="1:14" ht="15.75">
      <c r="B133" s="20" t="s">
        <v>95</v>
      </c>
      <c r="C133" s="22" t="s">
        <v>95</v>
      </c>
      <c r="E133" s="26" t="s">
        <v>95</v>
      </c>
      <c r="F133" s="162">
        <v>132</v>
      </c>
      <c r="G133" s="114" t="s">
        <v>197</v>
      </c>
      <c r="H133" s="165">
        <v>45954</v>
      </c>
      <c r="I133" s="165">
        <v>45955</v>
      </c>
      <c r="J133" s="252">
        <f t="shared" si="6"/>
        <v>2</v>
      </c>
      <c r="K133" s="252">
        <v>131</v>
      </c>
      <c r="L133" s="252">
        <f t="shared" si="7"/>
        <v>2</v>
      </c>
      <c r="M133" s="165">
        <v>45954</v>
      </c>
      <c r="N133" s="165">
        <v>45955</v>
      </c>
    </row>
    <row r="134" spans="1:14">
      <c r="B134" s="20" t="s">
        <v>95</v>
      </c>
      <c r="C134" s="22" t="s">
        <v>95</v>
      </c>
      <c r="E134" s="26" t="s">
        <v>95</v>
      </c>
      <c r="F134" s="161">
        <v>133</v>
      </c>
      <c r="G134" s="114" t="s">
        <v>122</v>
      </c>
      <c r="H134" s="165">
        <v>45954</v>
      </c>
      <c r="I134" s="165">
        <v>45955</v>
      </c>
      <c r="J134" s="252">
        <f t="shared" si="6"/>
        <v>2</v>
      </c>
      <c r="K134" s="252">
        <v>132</v>
      </c>
      <c r="L134" s="252">
        <f t="shared" si="7"/>
        <v>2</v>
      </c>
      <c r="M134" s="165">
        <v>45954</v>
      </c>
      <c r="N134" s="165">
        <v>45955</v>
      </c>
    </row>
    <row r="135" spans="1:14">
      <c r="B135" s="20" t="s">
        <v>95</v>
      </c>
      <c r="C135" s="22" t="s">
        <v>95</v>
      </c>
      <c r="E135" s="26" t="s">
        <v>95</v>
      </c>
      <c r="F135" s="163">
        <v>134</v>
      </c>
      <c r="G135" s="115" t="s">
        <v>123</v>
      </c>
      <c r="H135" s="165">
        <v>45954</v>
      </c>
      <c r="I135" s="165">
        <v>45955</v>
      </c>
      <c r="J135" s="252">
        <f t="shared" si="6"/>
        <v>2</v>
      </c>
      <c r="K135" s="252">
        <v>133</v>
      </c>
      <c r="L135" s="252">
        <f t="shared" si="7"/>
        <v>2</v>
      </c>
      <c r="M135" s="165">
        <v>45954</v>
      </c>
      <c r="N135" s="165">
        <v>45955</v>
      </c>
    </row>
    <row r="136" spans="1:14">
      <c r="A136" s="17" t="s">
        <v>95</v>
      </c>
      <c r="F136" s="163">
        <v>135</v>
      </c>
      <c r="G136" s="115" t="s">
        <v>198</v>
      </c>
      <c r="H136" s="165">
        <v>45954</v>
      </c>
      <c r="I136" s="165">
        <v>45955</v>
      </c>
      <c r="J136" s="252">
        <f t="shared" si="6"/>
        <v>2</v>
      </c>
      <c r="K136" s="252">
        <v>134</v>
      </c>
      <c r="L136" s="252">
        <f t="shared" si="7"/>
        <v>2</v>
      </c>
      <c r="M136" s="165">
        <v>45954</v>
      </c>
      <c r="N136" s="165">
        <v>45955</v>
      </c>
    </row>
    <row r="137" spans="1:14">
      <c r="B137" s="20" t="s">
        <v>95</v>
      </c>
      <c r="C137" s="22" t="s">
        <v>95</v>
      </c>
      <c r="E137" s="26" t="s">
        <v>95</v>
      </c>
      <c r="F137" s="161">
        <v>136</v>
      </c>
      <c r="G137" s="114" t="s">
        <v>175</v>
      </c>
      <c r="H137" s="165">
        <v>45954</v>
      </c>
      <c r="I137" s="165">
        <v>45955</v>
      </c>
      <c r="J137" s="252">
        <f t="shared" si="6"/>
        <v>2</v>
      </c>
      <c r="K137" s="252">
        <v>135</v>
      </c>
      <c r="L137" s="252">
        <f t="shared" si="7"/>
        <v>2</v>
      </c>
      <c r="M137" s="165">
        <v>45954</v>
      </c>
      <c r="N137" s="165">
        <v>45955</v>
      </c>
    </row>
    <row r="138" spans="1:14">
      <c r="B138" s="20" t="s">
        <v>95</v>
      </c>
      <c r="C138" s="22" t="s">
        <v>95</v>
      </c>
      <c r="E138" s="26" t="s">
        <v>95</v>
      </c>
      <c r="F138" s="161">
        <v>137</v>
      </c>
      <c r="G138" s="115" t="s">
        <v>123</v>
      </c>
      <c r="H138" s="165">
        <v>45954</v>
      </c>
      <c r="I138" s="165">
        <v>45955</v>
      </c>
      <c r="J138" s="252">
        <f t="shared" si="6"/>
        <v>2</v>
      </c>
      <c r="K138" s="252">
        <v>136</v>
      </c>
      <c r="L138" s="252">
        <f t="shared" si="7"/>
        <v>2</v>
      </c>
      <c r="M138" s="165">
        <v>45954</v>
      </c>
      <c r="N138" s="165">
        <v>45955</v>
      </c>
    </row>
    <row r="139" spans="1:14">
      <c r="A139" s="17" t="s">
        <v>95</v>
      </c>
      <c r="F139" s="161">
        <v>138</v>
      </c>
      <c r="G139" s="115" t="s">
        <v>199</v>
      </c>
      <c r="H139" s="165">
        <v>45954</v>
      </c>
      <c r="I139" s="165">
        <v>45955</v>
      </c>
      <c r="J139" s="252">
        <f t="shared" si="6"/>
        <v>2</v>
      </c>
      <c r="K139" s="252">
        <v>137</v>
      </c>
      <c r="L139" s="252">
        <f t="shared" si="7"/>
        <v>2</v>
      </c>
      <c r="M139" s="165">
        <v>45954</v>
      </c>
      <c r="N139" s="165">
        <v>45955</v>
      </c>
    </row>
    <row r="140" spans="1:14">
      <c r="A140" s="17" t="s">
        <v>95</v>
      </c>
      <c r="F140" s="161">
        <v>139</v>
      </c>
      <c r="G140" s="115" t="s">
        <v>200</v>
      </c>
      <c r="H140" s="165">
        <v>45954</v>
      </c>
      <c r="I140" s="165">
        <v>45955</v>
      </c>
      <c r="J140" s="252">
        <f t="shared" si="6"/>
        <v>2</v>
      </c>
      <c r="K140" s="252">
        <v>138</v>
      </c>
      <c r="L140" s="252">
        <f t="shared" si="7"/>
        <v>2</v>
      </c>
      <c r="M140" s="165">
        <v>45954</v>
      </c>
      <c r="N140" s="165">
        <v>45955</v>
      </c>
    </row>
    <row r="141" spans="1:14">
      <c r="B141" s="20" t="s">
        <v>95</v>
      </c>
      <c r="C141" s="22" t="s">
        <v>95</v>
      </c>
      <c r="E141" s="26" t="s">
        <v>95</v>
      </c>
      <c r="F141" s="161">
        <v>140</v>
      </c>
      <c r="G141" s="114" t="s">
        <v>178</v>
      </c>
      <c r="H141" s="165">
        <v>45954</v>
      </c>
      <c r="I141" s="165">
        <v>45955</v>
      </c>
      <c r="J141" s="252">
        <f t="shared" si="6"/>
        <v>2</v>
      </c>
      <c r="K141" s="252">
        <v>139</v>
      </c>
      <c r="L141" s="252">
        <f t="shared" si="7"/>
        <v>2</v>
      </c>
      <c r="M141" s="165">
        <v>45954</v>
      </c>
      <c r="N141" s="165">
        <v>45955</v>
      </c>
    </row>
    <row r="142" spans="1:14">
      <c r="B142" s="20" t="s">
        <v>95</v>
      </c>
      <c r="C142" s="22" t="s">
        <v>95</v>
      </c>
      <c r="E142" s="26" t="s">
        <v>95</v>
      </c>
      <c r="F142" s="161">
        <v>141</v>
      </c>
      <c r="G142" s="115" t="s">
        <v>123</v>
      </c>
      <c r="H142" s="165">
        <v>45954</v>
      </c>
      <c r="I142" s="165">
        <v>45955</v>
      </c>
      <c r="J142" s="252">
        <f t="shared" si="6"/>
        <v>2</v>
      </c>
      <c r="K142" s="252">
        <v>140</v>
      </c>
      <c r="L142" s="252">
        <f t="shared" si="7"/>
        <v>2</v>
      </c>
      <c r="M142" s="165">
        <v>45954</v>
      </c>
      <c r="N142" s="165">
        <v>45955</v>
      </c>
    </row>
    <row r="143" spans="1:14">
      <c r="A143" s="17" t="s">
        <v>95</v>
      </c>
      <c r="F143" s="161">
        <v>142</v>
      </c>
      <c r="G143" s="115" t="s">
        <v>201</v>
      </c>
      <c r="H143" s="165">
        <v>45954</v>
      </c>
      <c r="I143" s="165">
        <v>45955</v>
      </c>
      <c r="J143" s="252">
        <f t="shared" si="6"/>
        <v>2</v>
      </c>
      <c r="K143" s="252">
        <v>141</v>
      </c>
      <c r="L143" s="252">
        <f t="shared" si="7"/>
        <v>2</v>
      </c>
      <c r="M143" s="165">
        <v>45954</v>
      </c>
      <c r="N143" s="165">
        <v>45955</v>
      </c>
    </row>
    <row r="144" spans="1:14">
      <c r="B144" s="20" t="s">
        <v>95</v>
      </c>
      <c r="C144" s="22" t="s">
        <v>95</v>
      </c>
      <c r="E144" s="26" t="s">
        <v>95</v>
      </c>
      <c r="F144" s="161">
        <v>143</v>
      </c>
      <c r="G144" s="114" t="s">
        <v>181</v>
      </c>
      <c r="H144" s="165">
        <v>45954</v>
      </c>
      <c r="I144" s="165">
        <v>45955</v>
      </c>
      <c r="J144" s="252">
        <f t="shared" si="6"/>
        <v>2</v>
      </c>
      <c r="K144" s="252">
        <v>142</v>
      </c>
      <c r="L144" s="252">
        <f t="shared" si="7"/>
        <v>2</v>
      </c>
      <c r="M144" s="165">
        <v>45954</v>
      </c>
      <c r="N144" s="165">
        <v>45955</v>
      </c>
    </row>
    <row r="145" spans="1:14">
      <c r="B145" s="20" t="s">
        <v>95</v>
      </c>
      <c r="C145" s="22" t="s">
        <v>95</v>
      </c>
      <c r="E145" s="26" t="s">
        <v>95</v>
      </c>
      <c r="F145" s="161">
        <v>144</v>
      </c>
      <c r="G145" s="115" t="s">
        <v>123</v>
      </c>
      <c r="H145" s="165">
        <v>45954</v>
      </c>
      <c r="I145" s="165">
        <v>45955</v>
      </c>
      <c r="J145" s="252">
        <f t="shared" si="6"/>
        <v>2</v>
      </c>
      <c r="K145" s="252">
        <v>143</v>
      </c>
      <c r="L145" s="252">
        <f t="shared" si="7"/>
        <v>2</v>
      </c>
      <c r="M145" s="165">
        <v>45954</v>
      </c>
      <c r="N145" s="165">
        <v>45955</v>
      </c>
    </row>
    <row r="146" spans="1:14">
      <c r="A146" s="17" t="s">
        <v>95</v>
      </c>
      <c r="F146" s="161">
        <v>145</v>
      </c>
      <c r="G146" s="115" t="s">
        <v>202</v>
      </c>
      <c r="H146" s="165">
        <v>45954</v>
      </c>
      <c r="I146" s="165">
        <v>45955</v>
      </c>
      <c r="J146" s="252">
        <f t="shared" si="6"/>
        <v>2</v>
      </c>
      <c r="K146" s="252">
        <v>144</v>
      </c>
      <c r="L146" s="252">
        <f t="shared" si="7"/>
        <v>2</v>
      </c>
      <c r="M146" s="165">
        <v>45954</v>
      </c>
      <c r="N146" s="165">
        <v>45955</v>
      </c>
    </row>
    <row r="147" spans="1:14" ht="15.75">
      <c r="A147" s="17" t="s">
        <v>95</v>
      </c>
      <c r="B147" s="20" t="s">
        <v>95</v>
      </c>
      <c r="C147" s="22" t="s">
        <v>95</v>
      </c>
      <c r="D147" s="25" t="s">
        <v>95</v>
      </c>
      <c r="F147" s="162">
        <v>146</v>
      </c>
      <c r="G147" s="114" t="s">
        <v>203</v>
      </c>
      <c r="H147" s="165">
        <v>45955</v>
      </c>
      <c r="I147" s="165">
        <v>45956</v>
      </c>
      <c r="J147" s="252">
        <f t="shared" si="6"/>
        <v>2</v>
      </c>
      <c r="K147" s="252">
        <v>145</v>
      </c>
      <c r="L147" s="252">
        <f t="shared" si="7"/>
        <v>2</v>
      </c>
      <c r="M147" s="165">
        <v>45955</v>
      </c>
      <c r="N147" s="165">
        <v>45956</v>
      </c>
    </row>
    <row r="148" spans="1:14">
      <c r="A148" s="17" t="s">
        <v>95</v>
      </c>
      <c r="B148" s="20" t="s">
        <v>95</v>
      </c>
      <c r="C148" s="22" t="s">
        <v>95</v>
      </c>
      <c r="D148" s="25" t="s">
        <v>95</v>
      </c>
      <c r="F148" s="161">
        <v>147</v>
      </c>
      <c r="G148" s="114" t="s">
        <v>204</v>
      </c>
      <c r="H148" s="165">
        <v>45955</v>
      </c>
      <c r="I148" s="165">
        <v>45956</v>
      </c>
      <c r="J148" s="252">
        <f t="shared" si="6"/>
        <v>2</v>
      </c>
      <c r="K148" s="252">
        <v>146</v>
      </c>
      <c r="L148" s="252">
        <f t="shared" si="7"/>
        <v>2</v>
      </c>
      <c r="M148" s="165">
        <v>45955</v>
      </c>
      <c r="N148" s="165">
        <v>45956</v>
      </c>
    </row>
    <row r="149" spans="1:14">
      <c r="B149" s="20" t="s">
        <v>95</v>
      </c>
      <c r="C149" s="22" t="s">
        <v>95</v>
      </c>
      <c r="D149" s="25" t="s">
        <v>95</v>
      </c>
      <c r="F149" s="161">
        <v>148</v>
      </c>
      <c r="G149" s="115" t="s">
        <v>123</v>
      </c>
      <c r="H149" s="165">
        <v>45955</v>
      </c>
      <c r="I149" s="165">
        <v>45956</v>
      </c>
      <c r="J149" s="252">
        <f t="shared" si="6"/>
        <v>2</v>
      </c>
      <c r="K149" s="252">
        <v>147</v>
      </c>
      <c r="L149" s="252">
        <f t="shared" si="7"/>
        <v>2</v>
      </c>
      <c r="M149" s="165">
        <v>45955</v>
      </c>
      <c r="N149" s="165">
        <v>45956</v>
      </c>
    </row>
    <row r="150" spans="1:14">
      <c r="A150" s="17" t="s">
        <v>95</v>
      </c>
      <c r="D150" s="25" t="s">
        <v>95</v>
      </c>
      <c r="F150" s="161">
        <v>149</v>
      </c>
      <c r="G150" s="115" t="s">
        <v>205</v>
      </c>
      <c r="H150" s="165">
        <v>45955</v>
      </c>
      <c r="I150" s="165">
        <v>45956</v>
      </c>
      <c r="J150" s="252">
        <f t="shared" si="6"/>
        <v>2</v>
      </c>
      <c r="K150" s="252">
        <v>148</v>
      </c>
      <c r="L150" s="252">
        <f t="shared" si="7"/>
        <v>2</v>
      </c>
      <c r="M150" s="165">
        <v>45955</v>
      </c>
      <c r="N150" s="165">
        <v>45956</v>
      </c>
    </row>
    <row r="151" spans="1:14">
      <c r="D151" s="25" t="s">
        <v>95</v>
      </c>
      <c r="F151" s="161">
        <v>150</v>
      </c>
      <c r="G151" s="115" t="s">
        <v>206</v>
      </c>
      <c r="H151" s="165">
        <v>45955</v>
      </c>
      <c r="I151" s="165">
        <v>45956</v>
      </c>
      <c r="J151" s="252">
        <f t="shared" si="6"/>
        <v>2</v>
      </c>
      <c r="K151" s="252">
        <v>149</v>
      </c>
      <c r="L151" s="252">
        <f t="shared" si="7"/>
        <v>2</v>
      </c>
      <c r="M151" s="165">
        <v>45955</v>
      </c>
      <c r="N151" s="165">
        <v>45956</v>
      </c>
    </row>
    <row r="152" spans="1:14">
      <c r="A152" s="17" t="s">
        <v>95</v>
      </c>
      <c r="D152" s="25" t="s">
        <v>95</v>
      </c>
      <c r="F152" s="161">
        <v>151</v>
      </c>
      <c r="G152" s="115" t="s">
        <v>207</v>
      </c>
      <c r="H152" s="165">
        <v>45955</v>
      </c>
      <c r="I152" s="165">
        <v>45956</v>
      </c>
      <c r="J152" s="252">
        <f t="shared" si="6"/>
        <v>2</v>
      </c>
      <c r="K152" s="252">
        <v>150</v>
      </c>
      <c r="L152" s="252">
        <f t="shared" si="7"/>
        <v>2</v>
      </c>
      <c r="M152" s="165">
        <v>45955</v>
      </c>
      <c r="N152" s="165">
        <v>45956</v>
      </c>
    </row>
    <row r="153" spans="1:14">
      <c r="A153" s="17" t="s">
        <v>95</v>
      </c>
      <c r="B153" s="20" t="s">
        <v>95</v>
      </c>
      <c r="C153" s="22" t="s">
        <v>95</v>
      </c>
      <c r="D153" s="25" t="s">
        <v>95</v>
      </c>
      <c r="F153" s="161">
        <v>152</v>
      </c>
      <c r="G153" s="114" t="s">
        <v>208</v>
      </c>
      <c r="H153" s="165">
        <v>45955</v>
      </c>
      <c r="I153" s="165">
        <v>45956</v>
      </c>
      <c r="J153" s="252">
        <f t="shared" si="6"/>
        <v>2</v>
      </c>
      <c r="K153" s="252">
        <v>151</v>
      </c>
      <c r="L153" s="252">
        <f t="shared" si="7"/>
        <v>2</v>
      </c>
      <c r="M153" s="165">
        <v>45955</v>
      </c>
      <c r="N153" s="165">
        <v>45956</v>
      </c>
    </row>
    <row r="154" spans="1:14">
      <c r="B154" s="20" t="s">
        <v>95</v>
      </c>
      <c r="C154" s="22" t="s">
        <v>95</v>
      </c>
      <c r="D154" s="25" t="s">
        <v>95</v>
      </c>
      <c r="F154" s="161">
        <v>153</v>
      </c>
      <c r="G154" s="115" t="s">
        <v>123</v>
      </c>
      <c r="H154" s="165">
        <v>45955</v>
      </c>
      <c r="I154" s="165">
        <v>45956</v>
      </c>
      <c r="J154" s="252">
        <f t="shared" si="6"/>
        <v>2</v>
      </c>
      <c r="K154" s="252">
        <v>152</v>
      </c>
      <c r="L154" s="252">
        <f t="shared" si="7"/>
        <v>2</v>
      </c>
      <c r="M154" s="165">
        <v>45955</v>
      </c>
      <c r="N154" s="165">
        <v>45956</v>
      </c>
    </row>
    <row r="155" spans="1:14">
      <c r="A155" s="17" t="s">
        <v>95</v>
      </c>
      <c r="D155" s="25" t="s">
        <v>95</v>
      </c>
      <c r="F155" s="161">
        <v>154</v>
      </c>
      <c r="G155" s="115" t="s">
        <v>209</v>
      </c>
      <c r="H155" s="165">
        <v>45955</v>
      </c>
      <c r="I155" s="165">
        <v>45956</v>
      </c>
      <c r="J155" s="252">
        <f t="shared" si="6"/>
        <v>2</v>
      </c>
      <c r="K155" s="252">
        <v>153</v>
      </c>
      <c r="L155" s="252">
        <f t="shared" si="7"/>
        <v>2</v>
      </c>
      <c r="M155" s="165">
        <v>45955</v>
      </c>
      <c r="N155" s="165">
        <v>45956</v>
      </c>
    </row>
    <row r="156" spans="1:14">
      <c r="A156" s="17" t="s">
        <v>95</v>
      </c>
      <c r="D156" s="25" t="s">
        <v>95</v>
      </c>
      <c r="F156" s="161">
        <v>155</v>
      </c>
      <c r="G156" s="115" t="s">
        <v>210</v>
      </c>
      <c r="H156" s="165">
        <v>45955</v>
      </c>
      <c r="I156" s="165">
        <v>45956</v>
      </c>
      <c r="J156" s="252">
        <f t="shared" si="6"/>
        <v>2</v>
      </c>
      <c r="K156" s="252">
        <v>154</v>
      </c>
      <c r="L156" s="252">
        <f t="shared" si="7"/>
        <v>2</v>
      </c>
      <c r="M156" s="165">
        <v>45955</v>
      </c>
      <c r="N156" s="165">
        <v>45956</v>
      </c>
    </row>
    <row r="157" spans="1:14">
      <c r="A157" s="17" t="s">
        <v>95</v>
      </c>
      <c r="B157" s="20" t="s">
        <v>95</v>
      </c>
      <c r="C157" s="22" t="s">
        <v>95</v>
      </c>
      <c r="D157" s="25" t="s">
        <v>95</v>
      </c>
      <c r="F157" s="161">
        <v>156</v>
      </c>
      <c r="G157" s="114" t="s">
        <v>211</v>
      </c>
      <c r="H157" s="165">
        <v>45955</v>
      </c>
      <c r="I157" s="165">
        <v>45956</v>
      </c>
      <c r="J157" s="252">
        <f t="shared" si="6"/>
        <v>2</v>
      </c>
      <c r="K157" s="252">
        <v>155</v>
      </c>
      <c r="L157" s="252">
        <f t="shared" si="7"/>
        <v>2</v>
      </c>
      <c r="M157" s="165">
        <v>45955</v>
      </c>
      <c r="N157" s="165">
        <v>45956</v>
      </c>
    </row>
    <row r="158" spans="1:14">
      <c r="B158" s="20" t="s">
        <v>95</v>
      </c>
      <c r="C158" s="22" t="s">
        <v>95</v>
      </c>
      <c r="D158" s="25" t="s">
        <v>95</v>
      </c>
      <c r="F158" s="161">
        <v>157</v>
      </c>
      <c r="G158" s="115" t="s">
        <v>123</v>
      </c>
      <c r="H158" s="165">
        <v>45955</v>
      </c>
      <c r="I158" s="165">
        <v>45956</v>
      </c>
      <c r="J158" s="252">
        <f t="shared" si="6"/>
        <v>2</v>
      </c>
      <c r="K158" s="252">
        <v>156</v>
      </c>
      <c r="L158" s="252">
        <f t="shared" si="7"/>
        <v>2</v>
      </c>
      <c r="M158" s="165">
        <v>45955</v>
      </c>
      <c r="N158" s="165">
        <v>45956</v>
      </c>
    </row>
    <row r="159" spans="1:14">
      <c r="A159" s="17" t="s">
        <v>95</v>
      </c>
      <c r="D159" s="25" t="s">
        <v>95</v>
      </c>
      <c r="F159" s="161">
        <v>158</v>
      </c>
      <c r="G159" s="115" t="s">
        <v>212</v>
      </c>
      <c r="H159" s="165">
        <v>45955</v>
      </c>
      <c r="I159" s="165">
        <v>45956</v>
      </c>
      <c r="J159" s="252">
        <f t="shared" si="6"/>
        <v>2</v>
      </c>
      <c r="K159" s="252">
        <v>157</v>
      </c>
      <c r="L159" s="252">
        <f t="shared" si="7"/>
        <v>2</v>
      </c>
      <c r="M159" s="165">
        <v>45955</v>
      </c>
      <c r="N159" s="165">
        <v>45956</v>
      </c>
    </row>
    <row r="160" spans="1:14">
      <c r="A160" s="17" t="s">
        <v>95</v>
      </c>
      <c r="D160" s="25" t="s">
        <v>95</v>
      </c>
      <c r="F160" s="161">
        <v>159</v>
      </c>
      <c r="G160" s="115" t="s">
        <v>213</v>
      </c>
      <c r="H160" s="165">
        <v>45955</v>
      </c>
      <c r="I160" s="165">
        <v>45956</v>
      </c>
      <c r="J160" s="252">
        <f t="shared" si="6"/>
        <v>2</v>
      </c>
      <c r="K160" s="252">
        <v>158</v>
      </c>
      <c r="L160" s="252">
        <f t="shared" si="7"/>
        <v>2</v>
      </c>
      <c r="M160" s="165">
        <v>45955</v>
      </c>
      <c r="N160" s="165">
        <v>45956</v>
      </c>
    </row>
    <row r="161" spans="1:14">
      <c r="A161" s="17" t="s">
        <v>95</v>
      </c>
      <c r="B161" s="20" t="s">
        <v>95</v>
      </c>
      <c r="C161" s="22" t="s">
        <v>95</v>
      </c>
      <c r="D161" s="25" t="s">
        <v>95</v>
      </c>
      <c r="F161" s="161">
        <v>160</v>
      </c>
      <c r="G161" s="114" t="s">
        <v>214</v>
      </c>
      <c r="H161" s="165">
        <v>45955</v>
      </c>
      <c r="I161" s="165">
        <v>45956</v>
      </c>
      <c r="J161" s="252">
        <f t="shared" si="6"/>
        <v>2</v>
      </c>
      <c r="K161" s="252">
        <v>159</v>
      </c>
      <c r="L161" s="252">
        <f t="shared" si="7"/>
        <v>2</v>
      </c>
      <c r="M161" s="165">
        <v>45955</v>
      </c>
      <c r="N161" s="165">
        <v>45956</v>
      </c>
    </row>
    <row r="162" spans="1:14">
      <c r="B162" s="20" t="s">
        <v>95</v>
      </c>
      <c r="C162" s="22" t="s">
        <v>95</v>
      </c>
      <c r="D162" s="25" t="s">
        <v>95</v>
      </c>
      <c r="F162" s="161">
        <v>161</v>
      </c>
      <c r="G162" s="115" t="s">
        <v>123</v>
      </c>
      <c r="H162" s="165">
        <v>45955</v>
      </c>
      <c r="I162" s="165">
        <v>45956</v>
      </c>
      <c r="J162" s="252">
        <f t="shared" ref="J162:J178" si="8">DAYS360(H162,I162)+1</f>
        <v>2</v>
      </c>
      <c r="K162" s="252">
        <v>160</v>
      </c>
      <c r="L162" s="252">
        <f t="shared" si="7"/>
        <v>2</v>
      </c>
      <c r="M162" s="165">
        <v>45955</v>
      </c>
      <c r="N162" s="165">
        <v>45956</v>
      </c>
    </row>
    <row r="163" spans="1:14">
      <c r="A163" s="17" t="s">
        <v>95</v>
      </c>
      <c r="D163" s="25" t="s">
        <v>95</v>
      </c>
      <c r="F163" s="161">
        <v>162</v>
      </c>
      <c r="G163" s="115" t="s">
        <v>215</v>
      </c>
      <c r="H163" s="165">
        <v>45955</v>
      </c>
      <c r="I163" s="165">
        <v>45956</v>
      </c>
      <c r="J163" s="252">
        <f t="shared" si="8"/>
        <v>2</v>
      </c>
      <c r="K163" s="252">
        <v>161</v>
      </c>
      <c r="L163" s="252">
        <f t="shared" si="7"/>
        <v>2</v>
      </c>
      <c r="M163" s="165">
        <v>45955</v>
      </c>
      <c r="N163" s="165">
        <v>45956</v>
      </c>
    </row>
    <row r="164" spans="1:14">
      <c r="A164" s="17" t="s">
        <v>95</v>
      </c>
      <c r="D164" s="25" t="s">
        <v>95</v>
      </c>
      <c r="F164" s="161">
        <v>163</v>
      </c>
      <c r="G164" s="115" t="s">
        <v>216</v>
      </c>
      <c r="H164" s="165">
        <v>45955</v>
      </c>
      <c r="I164" s="165">
        <v>45956</v>
      </c>
      <c r="J164" s="252">
        <f t="shared" si="8"/>
        <v>2</v>
      </c>
      <c r="K164" s="252">
        <v>162</v>
      </c>
      <c r="L164" s="252">
        <f t="shared" si="7"/>
        <v>2</v>
      </c>
      <c r="M164" s="165">
        <v>45955</v>
      </c>
      <c r="N164" s="165">
        <v>45956</v>
      </c>
    </row>
    <row r="165" spans="1:14">
      <c r="A165" s="17" t="s">
        <v>95</v>
      </c>
      <c r="B165" s="20" t="s">
        <v>95</v>
      </c>
      <c r="C165" s="22" t="s">
        <v>95</v>
      </c>
      <c r="D165" s="25" t="s">
        <v>95</v>
      </c>
      <c r="F165" s="161">
        <v>164</v>
      </c>
      <c r="G165" s="114" t="s">
        <v>217</v>
      </c>
      <c r="H165" s="165">
        <v>45955</v>
      </c>
      <c r="I165" s="165">
        <v>45956</v>
      </c>
      <c r="J165" s="252">
        <f t="shared" si="8"/>
        <v>2</v>
      </c>
      <c r="K165" s="252">
        <v>163</v>
      </c>
      <c r="L165" s="252">
        <f t="shared" si="7"/>
        <v>2</v>
      </c>
      <c r="M165" s="165">
        <v>45955</v>
      </c>
      <c r="N165" s="165">
        <v>45956</v>
      </c>
    </row>
    <row r="166" spans="1:14">
      <c r="B166" s="20" t="s">
        <v>95</v>
      </c>
      <c r="C166" s="22" t="s">
        <v>95</v>
      </c>
      <c r="D166" s="25" t="s">
        <v>95</v>
      </c>
      <c r="F166" s="161">
        <v>165</v>
      </c>
      <c r="G166" s="115" t="s">
        <v>123</v>
      </c>
      <c r="H166" s="165">
        <v>45955</v>
      </c>
      <c r="I166" s="165">
        <v>45956</v>
      </c>
      <c r="J166" s="252">
        <f t="shared" si="8"/>
        <v>2</v>
      </c>
      <c r="K166" s="252">
        <v>164</v>
      </c>
      <c r="L166" s="252">
        <f t="shared" si="7"/>
        <v>2</v>
      </c>
      <c r="M166" s="165">
        <v>45955</v>
      </c>
      <c r="N166" s="165">
        <v>45956</v>
      </c>
    </row>
    <row r="167" spans="1:14">
      <c r="A167" s="17" t="s">
        <v>95</v>
      </c>
      <c r="D167" s="25" t="s">
        <v>95</v>
      </c>
      <c r="F167" s="161">
        <v>166</v>
      </c>
      <c r="G167" s="115" t="s">
        <v>218</v>
      </c>
      <c r="H167" s="165">
        <v>45955</v>
      </c>
      <c r="I167" s="165">
        <v>45956</v>
      </c>
      <c r="J167" s="252">
        <f t="shared" si="8"/>
        <v>2</v>
      </c>
      <c r="K167" s="252">
        <v>165</v>
      </c>
      <c r="L167" s="252">
        <f t="shared" si="7"/>
        <v>2</v>
      </c>
      <c r="M167" s="165">
        <v>45955</v>
      </c>
      <c r="N167" s="165">
        <v>45956</v>
      </c>
    </row>
    <row r="168" spans="1:14">
      <c r="A168" s="17" t="s">
        <v>95</v>
      </c>
      <c r="D168" s="25" t="s">
        <v>95</v>
      </c>
      <c r="F168" s="161">
        <v>167</v>
      </c>
      <c r="G168" s="115" t="s">
        <v>219</v>
      </c>
      <c r="H168" s="165">
        <v>45955</v>
      </c>
      <c r="I168" s="165">
        <v>45956</v>
      </c>
      <c r="J168" s="252">
        <f t="shared" si="8"/>
        <v>2</v>
      </c>
      <c r="K168" s="252">
        <v>166</v>
      </c>
      <c r="L168" s="252">
        <f t="shared" si="7"/>
        <v>2</v>
      </c>
      <c r="M168" s="165">
        <v>45955</v>
      </c>
      <c r="N168" s="165">
        <v>45956</v>
      </c>
    </row>
    <row r="169" spans="1:14" ht="15.75">
      <c r="A169" s="17" t="s">
        <v>95</v>
      </c>
      <c r="B169" s="20" t="s">
        <v>95</v>
      </c>
      <c r="C169" s="22" t="s">
        <v>95</v>
      </c>
      <c r="F169" s="162">
        <v>168</v>
      </c>
      <c r="G169" s="49" t="s">
        <v>220</v>
      </c>
      <c r="H169" s="165">
        <v>45955</v>
      </c>
      <c r="I169" s="165">
        <v>45956</v>
      </c>
      <c r="J169" s="252">
        <f t="shared" si="8"/>
        <v>2</v>
      </c>
      <c r="K169" s="252">
        <v>167</v>
      </c>
      <c r="L169" s="252">
        <f t="shared" si="7"/>
        <v>2</v>
      </c>
      <c r="M169" s="165">
        <v>45955</v>
      </c>
      <c r="N169" s="165">
        <v>45956</v>
      </c>
    </row>
    <row r="170" spans="1:14">
      <c r="A170" s="17" t="s">
        <v>95</v>
      </c>
      <c r="F170" s="161">
        <v>169</v>
      </c>
      <c r="G170" s="27" t="s">
        <v>221</v>
      </c>
      <c r="H170" s="165">
        <v>45955</v>
      </c>
      <c r="I170" s="165">
        <v>45956</v>
      </c>
      <c r="J170" s="252">
        <f t="shared" si="8"/>
        <v>2</v>
      </c>
      <c r="K170" s="252">
        <v>168</v>
      </c>
      <c r="L170" s="252">
        <f t="shared" si="7"/>
        <v>2</v>
      </c>
      <c r="M170" s="165">
        <v>45955</v>
      </c>
      <c r="N170" s="165">
        <v>45956</v>
      </c>
    </row>
    <row r="171" spans="1:14">
      <c r="A171" s="17" t="s">
        <v>95</v>
      </c>
      <c r="F171" s="161">
        <v>170</v>
      </c>
      <c r="G171" s="115" t="s">
        <v>222</v>
      </c>
      <c r="H171" s="165">
        <v>45955</v>
      </c>
      <c r="I171" s="165">
        <v>45956</v>
      </c>
      <c r="J171" s="252">
        <f t="shared" si="8"/>
        <v>2</v>
      </c>
      <c r="K171" s="252">
        <v>169</v>
      </c>
      <c r="L171" s="252">
        <f t="shared" si="7"/>
        <v>2</v>
      </c>
      <c r="M171" s="165">
        <v>45955</v>
      </c>
      <c r="N171" s="165">
        <v>45956</v>
      </c>
    </row>
    <row r="172" spans="1:14" ht="18.75">
      <c r="A172" s="17" t="s">
        <v>95</v>
      </c>
      <c r="B172" s="20" t="s">
        <v>95</v>
      </c>
      <c r="C172" s="22" t="s">
        <v>95</v>
      </c>
      <c r="D172" s="25" t="s">
        <v>95</v>
      </c>
      <c r="E172" s="26" t="s">
        <v>95</v>
      </c>
      <c r="F172" s="160">
        <v>171</v>
      </c>
      <c r="G172" s="48" t="s">
        <v>223</v>
      </c>
      <c r="H172" s="165">
        <v>45964</v>
      </c>
      <c r="I172" s="165">
        <v>45981</v>
      </c>
      <c r="J172" s="252">
        <f t="shared" si="8"/>
        <v>18</v>
      </c>
      <c r="K172" s="252">
        <v>170</v>
      </c>
      <c r="L172" s="252">
        <f t="shared" si="7"/>
        <v>18</v>
      </c>
      <c r="M172" s="165">
        <v>45964</v>
      </c>
      <c r="N172" s="165">
        <v>45981</v>
      </c>
    </row>
    <row r="173" spans="1:14" ht="15.75">
      <c r="A173" s="17" t="s">
        <v>95</v>
      </c>
      <c r="B173" s="20" t="s">
        <v>95</v>
      </c>
      <c r="C173" s="22" t="s">
        <v>95</v>
      </c>
      <c r="D173" s="25" t="s">
        <v>95</v>
      </c>
      <c r="E173" s="26" t="s">
        <v>95</v>
      </c>
      <c r="F173" s="162">
        <v>172</v>
      </c>
      <c r="G173" s="49" t="s">
        <v>224</v>
      </c>
      <c r="H173" s="165">
        <v>45964</v>
      </c>
      <c r="I173" s="165">
        <v>45981</v>
      </c>
      <c r="J173" s="252">
        <f t="shared" si="8"/>
        <v>18</v>
      </c>
      <c r="K173" s="252">
        <v>171</v>
      </c>
      <c r="L173" s="252">
        <f t="shared" si="7"/>
        <v>18</v>
      </c>
      <c r="M173" s="165">
        <v>45964</v>
      </c>
      <c r="N173" s="165">
        <v>45981</v>
      </c>
    </row>
    <row r="174" spans="1:14">
      <c r="A174" s="17" t="s">
        <v>95</v>
      </c>
      <c r="B174" s="20" t="s">
        <v>95</v>
      </c>
      <c r="C174" s="22" t="s">
        <v>95</v>
      </c>
      <c r="D174" s="25" t="s">
        <v>95</v>
      </c>
      <c r="E174" s="26" t="s">
        <v>95</v>
      </c>
      <c r="F174" s="161">
        <v>173</v>
      </c>
      <c r="G174" s="27" t="s">
        <v>225</v>
      </c>
      <c r="H174" s="165">
        <v>45964</v>
      </c>
      <c r="I174" s="165">
        <v>45981</v>
      </c>
      <c r="J174" s="252">
        <f t="shared" si="8"/>
        <v>18</v>
      </c>
      <c r="K174" s="252">
        <v>172</v>
      </c>
      <c r="L174" s="252">
        <f t="shared" si="7"/>
        <v>18</v>
      </c>
      <c r="M174" s="165">
        <v>45964</v>
      </c>
      <c r="N174" s="165">
        <v>45981</v>
      </c>
    </row>
    <row r="175" spans="1:14">
      <c r="A175" s="17" t="s">
        <v>95</v>
      </c>
      <c r="B175" s="20" t="s">
        <v>95</v>
      </c>
      <c r="C175" s="22" t="s">
        <v>95</v>
      </c>
      <c r="D175" s="25" t="s">
        <v>95</v>
      </c>
      <c r="E175" s="26" t="s">
        <v>95</v>
      </c>
      <c r="F175" s="161">
        <v>174</v>
      </c>
      <c r="G175" s="115" t="s">
        <v>226</v>
      </c>
      <c r="H175" s="165">
        <v>45966</v>
      </c>
      <c r="I175" s="165">
        <v>45981</v>
      </c>
      <c r="J175" s="252">
        <f t="shared" si="8"/>
        <v>16</v>
      </c>
      <c r="K175" s="252">
        <v>173</v>
      </c>
      <c r="L175" s="252">
        <f t="shared" si="7"/>
        <v>16</v>
      </c>
      <c r="M175" s="165">
        <v>45966</v>
      </c>
      <c r="N175" s="165">
        <v>45981</v>
      </c>
    </row>
    <row r="176" spans="1:14">
      <c r="A176" s="17" t="s">
        <v>95</v>
      </c>
      <c r="B176" s="20" t="s">
        <v>95</v>
      </c>
      <c r="C176" s="22" t="s">
        <v>95</v>
      </c>
      <c r="D176" s="25" t="s">
        <v>95</v>
      </c>
      <c r="E176" s="26" t="s">
        <v>95</v>
      </c>
      <c r="F176" s="161">
        <v>175</v>
      </c>
      <c r="G176" s="115" t="s">
        <v>227</v>
      </c>
      <c r="H176" s="165">
        <v>45968</v>
      </c>
      <c r="I176" s="165">
        <v>45981</v>
      </c>
      <c r="J176" s="252">
        <f t="shared" si="8"/>
        <v>14</v>
      </c>
      <c r="K176" s="252">
        <v>174</v>
      </c>
      <c r="L176" s="252">
        <f t="shared" si="7"/>
        <v>14</v>
      </c>
      <c r="M176" s="165">
        <v>45968</v>
      </c>
      <c r="N176" s="165">
        <v>45981</v>
      </c>
    </row>
    <row r="177" spans="1:14">
      <c r="A177" s="17" t="s">
        <v>95</v>
      </c>
      <c r="B177" s="20" t="s">
        <v>95</v>
      </c>
      <c r="C177" s="22" t="s">
        <v>95</v>
      </c>
      <c r="D177" s="25" t="s">
        <v>95</v>
      </c>
      <c r="E177" s="26" t="s">
        <v>95</v>
      </c>
      <c r="F177" s="161">
        <v>176</v>
      </c>
      <c r="G177" s="115" t="s">
        <v>228</v>
      </c>
      <c r="H177" s="165">
        <v>45973</v>
      </c>
      <c r="I177" s="165">
        <v>45981</v>
      </c>
      <c r="J177" s="252">
        <f t="shared" si="8"/>
        <v>9</v>
      </c>
      <c r="K177" s="252">
        <v>175</v>
      </c>
      <c r="L177" s="252">
        <f t="shared" si="7"/>
        <v>9</v>
      </c>
      <c r="M177" s="165">
        <v>45973</v>
      </c>
      <c r="N177" s="165">
        <v>45981</v>
      </c>
    </row>
    <row r="178" spans="1:14">
      <c r="A178" s="17" t="s">
        <v>95</v>
      </c>
      <c r="B178" s="20" t="s">
        <v>95</v>
      </c>
      <c r="C178" s="22" t="s">
        <v>95</v>
      </c>
      <c r="D178" s="25" t="s">
        <v>95</v>
      </c>
      <c r="E178" s="26" t="s">
        <v>95</v>
      </c>
      <c r="F178" s="161">
        <v>177</v>
      </c>
      <c r="G178" s="115" t="s">
        <v>229</v>
      </c>
      <c r="H178" s="165">
        <v>45975</v>
      </c>
      <c r="I178" s="165">
        <v>45981</v>
      </c>
      <c r="J178" s="252">
        <f t="shared" si="8"/>
        <v>7</v>
      </c>
      <c r="K178" s="252">
        <v>176</v>
      </c>
      <c r="L178" s="252">
        <f t="shared" si="7"/>
        <v>7</v>
      </c>
      <c r="M178" s="165">
        <v>45975</v>
      </c>
      <c r="N178" s="165">
        <v>45981</v>
      </c>
    </row>
    <row r="232" spans="7:7">
      <c r="G232" s="82"/>
    </row>
    <row r="248" spans="7:16">
      <c r="G248" s="34"/>
      <c r="H248" s="35"/>
      <c r="I248" s="36"/>
      <c r="J248" s="36"/>
      <c r="K248" s="83"/>
      <c r="L248" s="38"/>
      <c r="M248" s="39"/>
      <c r="N248" s="39"/>
      <c r="O248" s="39"/>
      <c r="P248" s="40"/>
    </row>
    <row r="249" spans="7:16">
      <c r="G249" s="29"/>
      <c r="H249" s="35"/>
      <c r="I249" s="36"/>
      <c r="J249" s="36"/>
      <c r="K249" s="37"/>
      <c r="L249" s="38"/>
      <c r="M249" s="39"/>
      <c r="N249" s="39"/>
      <c r="O249" s="39"/>
      <c r="P249" s="40"/>
    </row>
    <row r="250" spans="7:16">
      <c r="G250" s="34"/>
      <c r="H250" s="42"/>
      <c r="I250" s="36"/>
      <c r="J250" s="36"/>
      <c r="K250" s="83"/>
      <c r="L250" s="38"/>
      <c r="M250" s="39"/>
      <c r="N250" s="39"/>
      <c r="O250" s="39"/>
      <c r="P250" s="40"/>
    </row>
    <row r="251" spans="7:16">
      <c r="G251" s="29"/>
      <c r="H251" s="42"/>
      <c r="I251" s="36"/>
      <c r="J251" s="36"/>
      <c r="K251" s="37"/>
      <c r="L251" s="38"/>
      <c r="M251" s="39"/>
      <c r="N251" s="39"/>
      <c r="O251" s="39"/>
      <c r="P251" s="40"/>
    </row>
    <row r="252" spans="7:16">
      <c r="G252" s="34"/>
      <c r="H252" s="35"/>
      <c r="I252" s="36"/>
      <c r="J252" s="36"/>
      <c r="K252" s="83"/>
      <c r="L252" s="38"/>
      <c r="M252" s="39"/>
      <c r="N252" s="39"/>
      <c r="O252" s="39"/>
      <c r="P252" s="40"/>
    </row>
    <row r="253" spans="7:16">
      <c r="G253" s="29"/>
      <c r="H253" s="42"/>
      <c r="I253" s="36"/>
      <c r="J253" s="36"/>
      <c r="K253" s="37"/>
      <c r="L253" s="38"/>
      <c r="M253" s="39"/>
      <c r="N253" s="39"/>
      <c r="O253" s="39"/>
      <c r="P253" s="40"/>
    </row>
    <row r="254" spans="7:16">
      <c r="G254" s="34"/>
      <c r="H254" s="42"/>
      <c r="I254" s="36"/>
      <c r="J254" s="36"/>
      <c r="K254" s="83"/>
      <c r="L254" s="38"/>
      <c r="M254" s="39"/>
      <c r="N254" s="39"/>
      <c r="O254" s="39"/>
      <c r="P254" s="40"/>
    </row>
    <row r="255" spans="7:16">
      <c r="G255" s="29"/>
      <c r="H255" s="35"/>
      <c r="I255" s="43"/>
      <c r="J255" s="44"/>
      <c r="K255" s="37"/>
      <c r="L255" s="38"/>
      <c r="M255" s="39"/>
      <c r="N255" s="39"/>
      <c r="O255" s="39"/>
      <c r="P255" s="40"/>
    </row>
    <row r="256" spans="7:16">
      <c r="G256" s="34"/>
      <c r="H256" s="42"/>
      <c r="I256" s="45"/>
      <c r="J256" s="46"/>
      <c r="K256" s="83"/>
      <c r="L256" s="38"/>
      <c r="M256" s="39"/>
      <c r="N256" s="39"/>
      <c r="O256" s="39"/>
      <c r="P256" s="40"/>
    </row>
    <row r="257" spans="7:16">
      <c r="G257" s="29"/>
      <c r="H257" s="42"/>
      <c r="I257" s="45"/>
      <c r="J257" s="46"/>
      <c r="K257" s="37"/>
      <c r="L257" s="38"/>
      <c r="M257" s="39"/>
      <c r="N257" s="39"/>
      <c r="O257" s="39"/>
      <c r="P257" s="40"/>
    </row>
    <row r="258" spans="7:16">
      <c r="G258" s="34"/>
      <c r="H258" s="42"/>
      <c r="I258" s="45"/>
      <c r="J258" s="46"/>
      <c r="K258" s="83"/>
      <c r="L258" s="38"/>
      <c r="M258" s="39"/>
      <c r="N258" s="39"/>
      <c r="O258" s="39"/>
      <c r="P258" s="40"/>
    </row>
    <row r="259" spans="7:16">
      <c r="G259" s="34"/>
      <c r="H259" s="47"/>
      <c r="I259" s="45"/>
      <c r="J259" s="46"/>
      <c r="K259" s="37"/>
      <c r="L259" s="38"/>
      <c r="M259" s="39"/>
      <c r="N259" s="39"/>
      <c r="O259" s="39"/>
      <c r="P259" s="40"/>
    </row>
    <row r="260" spans="7:16">
      <c r="G260" s="34"/>
      <c r="H260" s="35"/>
      <c r="I260" s="45"/>
      <c r="J260" s="46"/>
      <c r="K260" s="83"/>
      <c r="L260" s="38"/>
      <c r="M260" s="39"/>
      <c r="N260" s="39"/>
      <c r="O260" s="39"/>
      <c r="P260" s="40"/>
    </row>
    <row r="261" spans="7:16">
      <c r="G261" s="34"/>
      <c r="H261" s="47"/>
      <c r="I261" s="45"/>
      <c r="J261" s="46"/>
      <c r="K261" s="37"/>
      <c r="L261" s="38"/>
      <c r="M261" s="39"/>
      <c r="N261" s="39"/>
      <c r="O261" s="39"/>
      <c r="P261" s="40"/>
    </row>
    <row r="262" spans="7:16">
      <c r="G262" s="34"/>
      <c r="H262" s="47"/>
      <c r="I262" s="45"/>
      <c r="J262" s="46"/>
      <c r="K262" s="83"/>
      <c r="L262" s="38"/>
      <c r="M262" s="39"/>
      <c r="N262" s="39"/>
      <c r="O262" s="39"/>
      <c r="P262" s="40"/>
    </row>
    <row r="263" spans="7:16">
      <c r="G263" s="34"/>
      <c r="H263" s="47"/>
      <c r="I263" s="45"/>
      <c r="J263" s="46"/>
      <c r="K263" s="37"/>
      <c r="L263" s="38"/>
      <c r="M263" s="39"/>
      <c r="N263" s="39"/>
      <c r="O263" s="39"/>
      <c r="P263" s="40"/>
    </row>
    <row r="264" spans="7:16">
      <c r="G264" s="34"/>
      <c r="H264" s="47"/>
      <c r="I264" s="45"/>
      <c r="J264" s="46"/>
      <c r="K264" s="83"/>
      <c r="L264" s="38"/>
      <c r="M264" s="39"/>
      <c r="N264" s="39"/>
      <c r="O264" s="39"/>
      <c r="P264" s="40"/>
    </row>
    <row r="265" spans="7:16">
      <c r="G265" s="34"/>
      <c r="H265" s="47"/>
      <c r="I265" s="45"/>
      <c r="J265" s="46"/>
      <c r="K265" s="37"/>
      <c r="L265" s="38"/>
      <c r="M265" s="39"/>
      <c r="N265" s="39"/>
      <c r="O265" s="39"/>
      <c r="P265" s="40"/>
    </row>
    <row r="266" spans="7:16">
      <c r="G266" s="34"/>
      <c r="H266" s="35"/>
      <c r="I266" s="45"/>
      <c r="J266" s="46"/>
      <c r="K266" s="83"/>
      <c r="L266" s="38"/>
      <c r="M266" s="39"/>
      <c r="N266" s="39"/>
      <c r="O266" s="39"/>
      <c r="P266" s="40"/>
    </row>
    <row r="267" spans="7:16">
      <c r="G267" s="34"/>
      <c r="H267" s="47"/>
      <c r="I267" s="45"/>
      <c r="J267" s="46"/>
      <c r="K267" s="37"/>
      <c r="L267" s="38"/>
      <c r="M267" s="39"/>
      <c r="N267" s="39"/>
      <c r="O267" s="39"/>
      <c r="P267" s="40"/>
    </row>
    <row r="268" spans="7:16">
      <c r="G268" s="34"/>
      <c r="H268" s="47"/>
      <c r="I268" s="45"/>
      <c r="J268" s="46"/>
      <c r="K268" s="83"/>
      <c r="L268" s="38"/>
      <c r="M268" s="39"/>
      <c r="N268" s="39"/>
      <c r="O268" s="39"/>
      <c r="P268" s="40"/>
    </row>
    <row r="269" spans="7:16">
      <c r="G269" s="34"/>
      <c r="H269" s="47"/>
      <c r="I269" s="45"/>
      <c r="J269" s="46"/>
      <c r="K269" s="37"/>
      <c r="L269" s="38"/>
      <c r="M269" s="39"/>
      <c r="N269" s="39"/>
      <c r="O269" s="39"/>
      <c r="P269" s="40"/>
    </row>
    <row r="270" spans="7:16">
      <c r="G270" s="34"/>
      <c r="H270" s="47"/>
      <c r="I270" s="45"/>
      <c r="J270" s="46"/>
      <c r="K270" s="83"/>
      <c r="L270" s="38"/>
      <c r="M270" s="39"/>
      <c r="N270" s="39"/>
      <c r="O270" s="39"/>
      <c r="P270" s="40"/>
    </row>
    <row r="271" spans="7:16">
      <c r="G271" s="34"/>
      <c r="H271" s="47"/>
      <c r="I271" s="45"/>
      <c r="J271" s="46"/>
      <c r="K271" s="37"/>
      <c r="L271" s="38"/>
      <c r="M271" s="39"/>
      <c r="N271" s="39"/>
      <c r="O271" s="39"/>
      <c r="P271" s="40"/>
    </row>
    <row r="272" spans="7:16">
      <c r="G272" s="34"/>
      <c r="H272" s="35"/>
      <c r="I272" s="45"/>
      <c r="J272" s="46"/>
      <c r="K272" s="83"/>
      <c r="L272" s="38"/>
      <c r="M272" s="39"/>
      <c r="N272" s="39"/>
      <c r="O272" s="39"/>
      <c r="P272" s="40"/>
    </row>
    <row r="273" spans="7:16">
      <c r="G273" s="34"/>
      <c r="H273" s="47"/>
      <c r="I273" s="45"/>
      <c r="J273" s="46"/>
      <c r="K273" s="37"/>
      <c r="L273" s="38"/>
      <c r="M273" s="39"/>
      <c r="N273" s="39"/>
      <c r="O273" s="39"/>
      <c r="P273" s="40"/>
    </row>
    <row r="274" spans="7:16">
      <c r="G274" s="34"/>
      <c r="H274" s="47"/>
      <c r="I274" s="45"/>
      <c r="J274" s="46"/>
      <c r="K274" s="83"/>
      <c r="L274" s="38"/>
      <c r="M274" s="39"/>
      <c r="N274" s="39"/>
      <c r="O274" s="39"/>
      <c r="P274" s="40"/>
    </row>
    <row r="275" spans="7:16">
      <c r="G275" s="34"/>
      <c r="H275" s="35"/>
      <c r="I275" s="45"/>
      <c r="J275" s="46"/>
      <c r="K275" s="37"/>
      <c r="L275" s="38"/>
      <c r="M275" s="39"/>
      <c r="N275" s="39"/>
      <c r="O275" s="39"/>
      <c r="P275" s="40"/>
    </row>
    <row r="276" spans="7:16">
      <c r="G276" s="34"/>
      <c r="H276" s="47"/>
      <c r="I276" s="45"/>
      <c r="J276" s="46"/>
      <c r="K276" s="83"/>
      <c r="L276" s="38"/>
      <c r="M276" s="39"/>
      <c r="N276" s="39"/>
      <c r="O276" s="39"/>
      <c r="P276" s="40"/>
    </row>
    <row r="277" spans="7:16">
      <c r="G277" s="34"/>
      <c r="H277" s="47"/>
      <c r="I277" s="45"/>
      <c r="J277" s="46"/>
      <c r="K277" s="37"/>
      <c r="L277" s="38"/>
      <c r="M277" s="39"/>
      <c r="N277" s="39"/>
      <c r="O277" s="39"/>
      <c r="P277" s="40"/>
    </row>
    <row r="279" spans="7:16">
      <c r="G279" s="99"/>
      <c r="H279" s="94"/>
      <c r="I279" s="96"/>
      <c r="J279" s="37"/>
      <c r="K279" s="38"/>
      <c r="L279" s="39"/>
      <c r="M279" s="39"/>
      <c r="N279" s="39"/>
      <c r="O279" s="40"/>
      <c r="P279" s="41"/>
    </row>
    <row r="280" spans="7:16">
      <c r="G280" s="100"/>
      <c r="H280" s="95"/>
      <c r="I280" s="97"/>
      <c r="J280" s="98"/>
      <c r="K280" s="30"/>
      <c r="L280" s="31"/>
      <c r="M280" s="31"/>
      <c r="N280" s="31"/>
      <c r="O280" s="32"/>
      <c r="P280" s="33"/>
    </row>
    <row r="281" spans="7:16">
      <c r="G281" s="101"/>
      <c r="H281" s="94"/>
      <c r="I281" s="96"/>
      <c r="J281" s="37"/>
      <c r="K281" s="38"/>
      <c r="L281" s="39"/>
      <c r="M281" s="39"/>
      <c r="N281" s="39"/>
      <c r="O281" s="40"/>
      <c r="P281" s="41"/>
    </row>
    <row r="282" spans="7:16">
      <c r="G282" s="102"/>
      <c r="H282" s="95"/>
      <c r="I282" s="97"/>
      <c r="J282" s="98"/>
      <c r="K282" s="30"/>
      <c r="L282" s="31"/>
      <c r="M282" s="31"/>
      <c r="N282" s="31"/>
      <c r="O282" s="32"/>
      <c r="P282" s="33"/>
    </row>
    <row r="283" spans="7:16">
      <c r="G283" s="103"/>
      <c r="H283" s="94"/>
      <c r="I283" s="96"/>
      <c r="J283" s="37"/>
      <c r="K283" s="38"/>
      <c r="L283" s="39"/>
      <c r="M283" s="39"/>
      <c r="N283" s="39"/>
      <c r="O283" s="40"/>
      <c r="P283" s="41"/>
    </row>
    <row r="284" spans="7:16">
      <c r="G284" s="102"/>
      <c r="H284" s="95"/>
      <c r="I284" s="97"/>
      <c r="J284" s="98"/>
      <c r="K284" s="30"/>
      <c r="L284" s="31"/>
      <c r="M284" s="31"/>
      <c r="N284" s="31"/>
      <c r="O284" s="32"/>
      <c r="P284" s="33"/>
    </row>
    <row r="285" spans="7:16">
      <c r="G285" s="101"/>
      <c r="H285" s="94"/>
      <c r="I285" s="96"/>
      <c r="J285" s="37"/>
      <c r="K285" s="38"/>
      <c r="L285" s="39"/>
      <c r="M285" s="39"/>
      <c r="N285" s="39"/>
      <c r="O285" s="40"/>
      <c r="P285" s="41"/>
    </row>
    <row r="286" spans="7:16">
      <c r="G286" s="102"/>
      <c r="H286" s="104"/>
      <c r="I286" s="105"/>
      <c r="J286" s="98"/>
      <c r="K286" s="30"/>
      <c r="L286" s="31"/>
      <c r="M286" s="31"/>
      <c r="N286" s="31"/>
      <c r="O286" s="32"/>
      <c r="P286" s="33"/>
    </row>
    <row r="287" spans="7:16">
      <c r="G287" s="103"/>
      <c r="H287" s="106"/>
      <c r="I287" s="107"/>
      <c r="J287" s="37"/>
      <c r="K287" s="38"/>
      <c r="L287" s="39"/>
      <c r="M287" s="39"/>
      <c r="N287" s="39"/>
      <c r="O287" s="40"/>
      <c r="P287" s="41"/>
    </row>
    <row r="288" spans="7:16">
      <c r="G288" s="102"/>
      <c r="H288" s="104"/>
      <c r="I288" s="105"/>
      <c r="J288" s="98"/>
      <c r="K288" s="30"/>
      <c r="L288" s="31"/>
      <c r="M288" s="31"/>
      <c r="N288" s="31"/>
      <c r="O288" s="32"/>
      <c r="P288" s="33"/>
    </row>
    <row r="289" spans="7:16">
      <c r="G289" s="101"/>
      <c r="H289" s="106"/>
      <c r="I289" s="107"/>
      <c r="J289" s="37"/>
      <c r="K289" s="38"/>
      <c r="L289" s="39"/>
      <c r="M289" s="39"/>
      <c r="N289" s="39"/>
      <c r="O289" s="40"/>
      <c r="P289" s="41"/>
    </row>
    <row r="290" spans="7:16">
      <c r="G290" s="102"/>
      <c r="H290" s="108"/>
      <c r="I290" s="109"/>
      <c r="J290" s="90"/>
      <c r="K290" s="30"/>
      <c r="L290" s="31"/>
      <c r="M290" s="31"/>
      <c r="N290" s="31"/>
      <c r="O290" s="32"/>
      <c r="P290" s="33"/>
    </row>
    <row r="291" spans="7:16">
      <c r="G291" s="103"/>
      <c r="H291" s="45"/>
      <c r="I291" s="46"/>
      <c r="J291" s="83"/>
      <c r="K291" s="38"/>
      <c r="L291" s="39"/>
      <c r="M291" s="39"/>
      <c r="N291" s="39"/>
      <c r="O291" s="40"/>
      <c r="P291" s="41"/>
    </row>
    <row r="292" spans="7:16">
      <c r="G292" s="102"/>
      <c r="H292" s="95"/>
      <c r="I292" s="97"/>
      <c r="J292" s="98"/>
      <c r="K292" s="30"/>
      <c r="L292" s="31"/>
      <c r="M292" s="31"/>
      <c r="N292" s="31"/>
      <c r="O292" s="32"/>
      <c r="P292" s="33"/>
    </row>
    <row r="293" spans="7:16">
      <c r="G293" s="101"/>
      <c r="H293" s="94"/>
      <c r="I293" s="96"/>
      <c r="J293" s="37"/>
      <c r="K293" s="38"/>
      <c r="L293" s="39"/>
      <c r="M293" s="39"/>
      <c r="N293" s="39"/>
      <c r="O293" s="40"/>
      <c r="P293" s="41"/>
    </row>
    <row r="294" spans="7:16">
      <c r="G294" s="102"/>
      <c r="H294" s="95"/>
      <c r="I294" s="97"/>
      <c r="J294" s="98"/>
      <c r="K294" s="30"/>
      <c r="L294" s="31"/>
      <c r="M294" s="31"/>
      <c r="N294" s="31"/>
      <c r="O294" s="32"/>
      <c r="P294" s="33"/>
    </row>
    <row r="295" spans="7:16">
      <c r="G295" s="103"/>
      <c r="H295" s="94"/>
      <c r="I295" s="96"/>
      <c r="J295" s="37"/>
      <c r="K295" s="38"/>
      <c r="L295" s="39"/>
      <c r="M295" s="39"/>
      <c r="N295" s="39"/>
      <c r="O295" s="40"/>
      <c r="P295" s="41"/>
    </row>
    <row r="296" spans="7:16">
      <c r="G296" s="102"/>
      <c r="H296" s="95"/>
      <c r="I296" s="97"/>
      <c r="J296" s="98"/>
      <c r="K296" s="30"/>
      <c r="L296" s="31"/>
      <c r="M296" s="31"/>
      <c r="N296" s="31"/>
      <c r="O296" s="32"/>
      <c r="P296" s="33"/>
    </row>
    <row r="297" spans="7:16">
      <c r="G297" s="101"/>
      <c r="H297" s="94"/>
      <c r="I297" s="96"/>
      <c r="J297" s="37"/>
      <c r="K297" s="38"/>
      <c r="L297" s="39"/>
      <c r="M297" s="39"/>
      <c r="N297" s="39"/>
      <c r="O297" s="40"/>
      <c r="P297" s="41"/>
    </row>
    <row r="298" spans="7:16">
      <c r="G298" s="102"/>
      <c r="H298" s="95"/>
      <c r="I298" s="97"/>
      <c r="J298" s="98"/>
      <c r="K298" s="30"/>
      <c r="L298" s="31"/>
      <c r="M298" s="31"/>
      <c r="N298" s="31"/>
      <c r="O298" s="32"/>
      <c r="P298" s="33"/>
    </row>
    <row r="299" spans="7:16">
      <c r="G299" s="103"/>
      <c r="H299" s="94"/>
      <c r="I299" s="96"/>
      <c r="J299" s="37"/>
      <c r="K299" s="38"/>
      <c r="L299" s="39"/>
      <c r="M299" s="39"/>
      <c r="N299" s="39"/>
      <c r="O299" s="40"/>
      <c r="P299" s="41"/>
    </row>
    <row r="300" spans="7:16">
      <c r="G300" s="102"/>
      <c r="H300" s="95"/>
      <c r="I300" s="97"/>
      <c r="J300" s="98"/>
      <c r="K300" s="30"/>
      <c r="L300" s="31"/>
      <c r="M300" s="31"/>
      <c r="N300" s="31"/>
      <c r="O300" s="32"/>
      <c r="P300" s="33"/>
    </row>
    <row r="301" spans="7:16">
      <c r="G301" s="84"/>
      <c r="H301" s="85"/>
      <c r="I301" s="86"/>
      <c r="J301" s="83"/>
      <c r="K301" s="38"/>
      <c r="L301" s="39"/>
      <c r="M301" s="39"/>
      <c r="N301" s="39"/>
      <c r="O301" s="40"/>
      <c r="P301" s="41"/>
    </row>
    <row r="302" spans="7:16">
      <c r="G302" s="87"/>
      <c r="H302" s="88"/>
      <c r="I302" s="89"/>
      <c r="J302" s="90"/>
      <c r="K302" s="30"/>
      <c r="L302" s="31"/>
      <c r="M302" s="31"/>
      <c r="N302" s="31"/>
      <c r="O302" s="32"/>
      <c r="P302" s="33"/>
    </row>
    <row r="303" spans="7:16">
      <c r="G303" s="110"/>
      <c r="H303" s="85"/>
      <c r="I303" s="86"/>
      <c r="J303" s="83"/>
      <c r="K303" s="38"/>
      <c r="L303" s="39"/>
      <c r="M303" s="39"/>
      <c r="N303" s="39"/>
      <c r="O303" s="40"/>
      <c r="P303" s="41"/>
    </row>
    <row r="304" spans="7:16">
      <c r="G304" s="111"/>
      <c r="H304" s="88"/>
      <c r="I304" s="89"/>
      <c r="J304" s="90"/>
      <c r="K304" s="30"/>
      <c r="L304" s="31"/>
      <c r="M304" s="31"/>
      <c r="N304" s="31"/>
      <c r="O304" s="32"/>
      <c r="P304" s="33"/>
    </row>
    <row r="305" spans="7:16">
      <c r="G305" s="110"/>
      <c r="H305" s="85"/>
      <c r="I305" s="86"/>
      <c r="J305" s="83"/>
      <c r="K305" s="38"/>
      <c r="L305" s="39"/>
      <c r="M305" s="39"/>
      <c r="N305" s="39"/>
      <c r="O305" s="40"/>
      <c r="P305" s="41"/>
    </row>
    <row r="306" spans="7:16">
      <c r="G306" s="87"/>
      <c r="H306" s="88"/>
      <c r="I306" s="89"/>
      <c r="J306" s="90"/>
      <c r="K306" s="30"/>
      <c r="L306" s="31"/>
      <c r="M306" s="31"/>
      <c r="N306" s="31"/>
      <c r="O306" s="32"/>
      <c r="P306" s="33"/>
    </row>
    <row r="307" spans="7:16">
      <c r="G307" s="110"/>
      <c r="H307" s="85"/>
      <c r="I307" s="86"/>
      <c r="J307" s="83"/>
      <c r="K307" s="38"/>
      <c r="L307" s="39"/>
      <c r="M307" s="39"/>
      <c r="N307" s="39"/>
      <c r="O307" s="40"/>
      <c r="P307" s="41"/>
    </row>
    <row r="308" spans="7:16">
      <c r="G308" s="111"/>
      <c r="H308" s="88"/>
      <c r="I308" s="89"/>
      <c r="J308" s="90"/>
      <c r="K308" s="30"/>
      <c r="L308" s="31"/>
      <c r="M308" s="31"/>
      <c r="N308" s="31"/>
      <c r="O308" s="32"/>
      <c r="P308" s="33"/>
    </row>
    <row r="309" spans="7:16">
      <c r="G309" s="110"/>
      <c r="H309" s="85"/>
      <c r="I309" s="86"/>
      <c r="J309" s="83"/>
      <c r="K309" s="38"/>
      <c r="L309" s="39"/>
      <c r="M309" s="39"/>
      <c r="N309" s="39"/>
      <c r="O309" s="40"/>
      <c r="P309" s="41"/>
    </row>
    <row r="310" spans="7:16">
      <c r="G310" s="111"/>
      <c r="H310" s="88"/>
      <c r="I310" s="89"/>
      <c r="J310" s="90"/>
      <c r="K310" s="30"/>
      <c r="L310" s="31"/>
      <c r="M310" s="31"/>
      <c r="N310" s="31"/>
      <c r="O310" s="32"/>
      <c r="P310" s="33"/>
    </row>
    <row r="311" spans="7:16">
      <c r="G311" s="84"/>
      <c r="H311" s="85"/>
      <c r="I311" s="86"/>
      <c r="J311" s="83"/>
      <c r="K311" s="38"/>
      <c r="L311" s="39"/>
      <c r="M311" s="39"/>
      <c r="N311" s="39"/>
      <c r="O311" s="40"/>
      <c r="P311" s="41"/>
    </row>
    <row r="312" spans="7:16">
      <c r="G312" s="111"/>
      <c r="H312" s="88"/>
      <c r="I312" s="89"/>
      <c r="J312" s="90"/>
      <c r="K312" s="30"/>
      <c r="L312" s="31"/>
      <c r="M312" s="31"/>
      <c r="N312" s="31"/>
      <c r="O312" s="32"/>
      <c r="P312" s="33"/>
    </row>
    <row r="313" spans="7:16">
      <c r="G313" s="110"/>
      <c r="H313" s="85"/>
      <c r="I313" s="86"/>
      <c r="J313" s="83"/>
      <c r="K313" s="38"/>
      <c r="L313" s="39"/>
      <c r="M313" s="39"/>
      <c r="N313" s="39"/>
      <c r="O313" s="40"/>
      <c r="P313" s="41"/>
    </row>
    <row r="314" spans="7:16">
      <c r="G314" s="111"/>
      <c r="H314" s="88"/>
      <c r="I314" s="89"/>
      <c r="J314" s="90"/>
      <c r="K314" s="30"/>
      <c r="L314" s="31"/>
      <c r="M314" s="31"/>
      <c r="N314" s="31"/>
      <c r="O314" s="32"/>
      <c r="P314" s="33"/>
    </row>
    <row r="315" spans="7:16">
      <c r="G315" s="84"/>
      <c r="H315" s="85"/>
      <c r="I315" s="86"/>
      <c r="J315" s="83"/>
      <c r="K315" s="38"/>
      <c r="L315" s="39"/>
      <c r="M315" s="39"/>
      <c r="N315" s="39"/>
      <c r="O315" s="40"/>
      <c r="P315" s="41"/>
    </row>
    <row r="316" spans="7:16">
      <c r="G316" s="111"/>
      <c r="H316" s="88"/>
      <c r="I316" s="89"/>
      <c r="J316" s="90"/>
      <c r="K316" s="30"/>
      <c r="L316" s="31"/>
      <c r="M316" s="31"/>
      <c r="N316" s="31"/>
      <c r="O316" s="32"/>
      <c r="P316" s="33"/>
    </row>
    <row r="317" spans="7:16">
      <c r="G317" s="110"/>
      <c r="H317" s="85"/>
      <c r="I317" s="86"/>
      <c r="J317" s="83"/>
      <c r="K317" s="38"/>
      <c r="L317" s="39"/>
      <c r="M317" s="39"/>
      <c r="N317" s="39"/>
      <c r="O317" s="40"/>
      <c r="P317" s="41"/>
    </row>
    <row r="318" spans="7:16">
      <c r="G318" s="111"/>
      <c r="H318" s="88"/>
      <c r="I318" s="89"/>
      <c r="J318" s="90"/>
      <c r="K318" s="30"/>
      <c r="L318" s="31"/>
      <c r="M318" s="31"/>
      <c r="N318" s="31"/>
      <c r="O318" s="32"/>
      <c r="P318" s="33"/>
    </row>
    <row r="319" spans="7:16">
      <c r="G319" s="84"/>
      <c r="H319" s="85"/>
      <c r="I319" s="86"/>
      <c r="J319" s="83"/>
      <c r="K319" s="38"/>
      <c r="L319" s="39"/>
      <c r="M319" s="39"/>
      <c r="N319" s="39"/>
      <c r="O319" s="40"/>
      <c r="P319" s="41"/>
    </row>
    <row r="320" spans="7:16">
      <c r="G320" s="111"/>
      <c r="H320" s="88"/>
      <c r="I320" s="89"/>
      <c r="J320" s="90"/>
      <c r="K320" s="30"/>
      <c r="L320" s="31"/>
      <c r="M320" s="31"/>
      <c r="N320" s="31"/>
      <c r="O320" s="32"/>
      <c r="P320" s="33"/>
    </row>
    <row r="321" spans="7:17">
      <c r="G321" s="110"/>
      <c r="H321" s="85"/>
      <c r="I321" s="86"/>
      <c r="J321" s="83"/>
      <c r="K321" s="38"/>
      <c r="L321" s="39"/>
      <c r="M321" s="39"/>
      <c r="N321" s="39"/>
      <c r="O321" s="40"/>
      <c r="P321" s="41"/>
    </row>
    <row r="322" spans="7:17">
      <c r="G322" s="111"/>
      <c r="H322" s="88"/>
      <c r="I322" s="89"/>
      <c r="J322" s="90"/>
      <c r="K322" s="30"/>
      <c r="L322" s="31"/>
      <c r="M322" s="31"/>
      <c r="N322" s="31"/>
      <c r="O322" s="32"/>
      <c r="P322" s="33"/>
    </row>
    <row r="323" spans="7:17">
      <c r="G323" s="84"/>
      <c r="H323" s="110"/>
      <c r="I323" s="110"/>
      <c r="J323" s="110"/>
      <c r="K323" s="110"/>
      <c r="L323" s="110"/>
      <c r="M323" s="110"/>
      <c r="N323" s="110"/>
      <c r="O323" s="110"/>
      <c r="P323" s="112"/>
    </row>
    <row r="324" spans="7:17">
      <c r="G324" s="87"/>
      <c r="H324" s="111"/>
      <c r="I324" s="111"/>
      <c r="J324" s="111"/>
      <c r="K324" s="111"/>
      <c r="L324" s="111"/>
      <c r="M324" s="111"/>
      <c r="N324" s="111"/>
      <c r="O324" s="111"/>
      <c r="P324" s="113"/>
      <c r="Q324" s="41"/>
    </row>
    <row r="325" spans="7:17">
      <c r="G325" s="110"/>
      <c r="H325" s="110"/>
      <c r="I325" s="110"/>
      <c r="J325" s="110"/>
      <c r="K325" s="110"/>
      <c r="L325" s="110"/>
      <c r="M325" s="110"/>
      <c r="N325" s="110"/>
      <c r="O325" s="110"/>
      <c r="P325" s="112"/>
      <c r="Q325" s="41"/>
    </row>
    <row r="326" spans="7:17">
      <c r="G326" s="111"/>
      <c r="H326" s="111"/>
      <c r="I326" s="111"/>
      <c r="J326" s="111"/>
      <c r="K326" s="111"/>
      <c r="L326" s="111"/>
      <c r="M326" s="111"/>
      <c r="N326" s="111"/>
      <c r="O326" s="111"/>
      <c r="P326" s="113"/>
      <c r="Q326" s="41"/>
    </row>
    <row r="327" spans="7:17">
      <c r="G327" s="84"/>
      <c r="H327" s="110"/>
      <c r="I327" s="110"/>
      <c r="J327" s="110"/>
      <c r="K327" s="110"/>
      <c r="L327" s="110"/>
      <c r="M327" s="110"/>
      <c r="N327" s="110"/>
      <c r="O327" s="110"/>
      <c r="P327" s="112"/>
      <c r="Q327" s="41"/>
    </row>
    <row r="328" spans="7:17">
      <c r="G328" s="111"/>
      <c r="H328" s="111"/>
      <c r="I328" s="111"/>
      <c r="J328" s="111"/>
      <c r="K328" s="111"/>
      <c r="L328" s="111"/>
      <c r="M328" s="111"/>
      <c r="N328" s="111"/>
      <c r="O328" s="111"/>
      <c r="P328" s="113"/>
      <c r="Q328" s="41"/>
    </row>
    <row r="329" spans="7:17">
      <c r="G329" s="110"/>
      <c r="H329" s="110"/>
      <c r="I329" s="110"/>
      <c r="J329" s="110"/>
      <c r="K329" s="110"/>
      <c r="L329" s="110"/>
      <c r="M329" s="110"/>
      <c r="N329" s="110"/>
      <c r="O329" s="110"/>
      <c r="P329" s="112"/>
      <c r="Q329" s="41"/>
    </row>
    <row r="330" spans="7:17">
      <c r="G330" s="111"/>
      <c r="H330" s="111"/>
      <c r="I330" s="111"/>
      <c r="J330" s="111"/>
      <c r="K330" s="111"/>
      <c r="L330" s="111"/>
      <c r="M330" s="111"/>
      <c r="N330" s="111"/>
      <c r="O330" s="111"/>
      <c r="P330" s="113"/>
      <c r="Q330" s="41"/>
    </row>
    <row r="331" spans="7:17">
      <c r="G331" s="84"/>
      <c r="H331" s="110"/>
      <c r="I331" s="110"/>
      <c r="J331" s="110"/>
      <c r="K331" s="110"/>
      <c r="L331" s="110"/>
      <c r="M331" s="110"/>
      <c r="N331" s="110"/>
      <c r="O331" s="110"/>
      <c r="P331" s="112"/>
      <c r="Q331" s="41"/>
    </row>
    <row r="332" spans="7:17">
      <c r="G332" s="111"/>
      <c r="H332" s="111"/>
      <c r="I332" s="111"/>
      <c r="J332" s="111"/>
      <c r="K332" s="111"/>
      <c r="L332" s="111"/>
      <c r="M332" s="111"/>
      <c r="N332" s="111"/>
      <c r="O332" s="111"/>
      <c r="P332" s="113"/>
      <c r="Q332" s="41"/>
    </row>
    <row r="333" spans="7:17">
      <c r="G333" s="110"/>
      <c r="H333" s="110"/>
      <c r="I333" s="110"/>
      <c r="J333" s="110"/>
      <c r="K333" s="110"/>
      <c r="L333" s="110"/>
      <c r="M333" s="110"/>
      <c r="N333" s="110"/>
      <c r="O333" s="110"/>
      <c r="P333" s="112"/>
      <c r="Q333" s="41"/>
    </row>
    <row r="334" spans="7:17">
      <c r="G334" s="87"/>
      <c r="H334" s="111"/>
      <c r="I334" s="111"/>
      <c r="J334" s="111"/>
      <c r="K334" s="111"/>
      <c r="L334" s="111"/>
      <c r="M334" s="111"/>
      <c r="N334" s="111"/>
      <c r="O334" s="111"/>
      <c r="P334" s="113"/>
      <c r="Q334" s="41"/>
    </row>
    <row r="335" spans="7:17">
      <c r="G335" s="110"/>
      <c r="H335" s="110"/>
      <c r="I335" s="110"/>
      <c r="J335" s="110"/>
      <c r="K335" s="110"/>
      <c r="L335" s="110"/>
      <c r="M335" s="110"/>
      <c r="N335" s="110"/>
      <c r="O335" s="110"/>
      <c r="P335" s="112"/>
      <c r="Q335" s="41"/>
    </row>
    <row r="336" spans="7:17">
      <c r="G336" s="111"/>
      <c r="H336" s="111"/>
      <c r="I336" s="111"/>
      <c r="J336" s="111"/>
      <c r="K336" s="111"/>
      <c r="L336" s="111"/>
      <c r="M336" s="111"/>
      <c r="N336" s="111"/>
      <c r="O336" s="111"/>
      <c r="P336" s="113"/>
      <c r="Q336" s="41"/>
    </row>
    <row r="337" spans="7:17">
      <c r="G337" s="84"/>
      <c r="H337" s="85"/>
      <c r="I337" s="86"/>
      <c r="J337" s="83"/>
      <c r="K337" s="38"/>
      <c r="L337" s="39"/>
      <c r="M337" s="39"/>
      <c r="N337" s="39"/>
      <c r="O337" s="40"/>
      <c r="P337" s="41"/>
      <c r="Q337" s="41"/>
    </row>
    <row r="338" spans="7:17">
      <c r="G338" s="87"/>
      <c r="H338" s="88"/>
      <c r="I338" s="89"/>
      <c r="J338" s="90"/>
      <c r="K338" s="30"/>
      <c r="L338" s="31"/>
      <c r="M338" s="31"/>
      <c r="N338" s="31"/>
      <c r="O338" s="32"/>
      <c r="P338" s="33"/>
      <c r="Q338" s="41"/>
    </row>
    <row r="339" spans="7:17">
      <c r="G339" s="110"/>
      <c r="H339" s="85"/>
      <c r="I339" s="86"/>
      <c r="J339" s="83"/>
      <c r="K339" s="38"/>
      <c r="L339" s="39"/>
      <c r="M339" s="39"/>
      <c r="N339" s="39"/>
      <c r="O339" s="40"/>
      <c r="P339" s="41"/>
      <c r="Q339" s="41"/>
    </row>
    <row r="340" spans="7:17">
      <c r="G340" s="111"/>
      <c r="H340" s="88"/>
      <c r="I340" s="89"/>
      <c r="J340" s="90"/>
      <c r="K340" s="30"/>
      <c r="L340" s="31"/>
      <c r="M340" s="31"/>
      <c r="N340" s="31"/>
      <c r="O340" s="32"/>
      <c r="P340" s="33"/>
      <c r="Q340" s="41"/>
    </row>
    <row r="341" spans="7:17">
      <c r="G341" s="110"/>
      <c r="H341" s="85"/>
      <c r="I341" s="86"/>
      <c r="J341" s="83"/>
      <c r="K341" s="38"/>
      <c r="L341" s="39"/>
      <c r="M341" s="39"/>
      <c r="N341" s="39"/>
      <c r="O341" s="40"/>
      <c r="P341" s="41"/>
      <c r="Q341" s="41"/>
    </row>
    <row r="342" spans="7:17">
      <c r="G342" s="111"/>
      <c r="H342" s="88"/>
      <c r="I342" s="89"/>
      <c r="J342" s="90"/>
      <c r="K342" s="30"/>
      <c r="L342" s="31"/>
      <c r="M342" s="31"/>
      <c r="N342" s="31"/>
      <c r="O342" s="32"/>
      <c r="P342" s="33"/>
      <c r="Q342" s="41"/>
    </row>
    <row r="343" spans="7:17">
      <c r="G343" s="84"/>
      <c r="H343" s="85"/>
      <c r="I343" s="86"/>
      <c r="J343" s="83"/>
      <c r="K343" s="38"/>
      <c r="L343" s="39"/>
      <c r="M343" s="39"/>
      <c r="N343" s="39"/>
      <c r="O343" s="40"/>
      <c r="P343" s="41"/>
      <c r="Q343" s="41"/>
    </row>
    <row r="344" spans="7:17">
      <c r="G344" s="111"/>
      <c r="H344" s="88"/>
      <c r="I344" s="89"/>
      <c r="J344" s="90"/>
      <c r="K344" s="30"/>
      <c r="L344" s="31"/>
      <c r="M344" s="31"/>
      <c r="N344" s="31"/>
      <c r="O344" s="32"/>
      <c r="P344" s="33"/>
      <c r="Q344" s="41"/>
    </row>
    <row r="345" spans="7:17">
      <c r="G345" s="110"/>
      <c r="H345" s="85"/>
      <c r="I345" s="86"/>
      <c r="J345" s="83"/>
      <c r="K345" s="38"/>
      <c r="L345" s="39"/>
      <c r="M345" s="39"/>
      <c r="N345" s="39"/>
      <c r="O345" s="40"/>
      <c r="P345" s="41"/>
      <c r="Q345" s="41"/>
    </row>
    <row r="346" spans="7:17">
      <c r="G346" s="111"/>
      <c r="H346" s="88"/>
      <c r="I346" s="89"/>
      <c r="J346" s="90"/>
      <c r="K346" s="30"/>
      <c r="L346" s="31"/>
      <c r="M346" s="31"/>
      <c r="N346" s="31"/>
      <c r="O346" s="32"/>
      <c r="P346" s="33"/>
      <c r="Q346" s="41"/>
    </row>
    <row r="347" spans="7:17">
      <c r="G347" s="110"/>
      <c r="H347" s="85"/>
      <c r="I347" s="86"/>
      <c r="J347" s="83"/>
      <c r="K347" s="38"/>
      <c r="L347" s="39"/>
      <c r="M347" s="39"/>
      <c r="N347" s="39"/>
      <c r="O347" s="40"/>
      <c r="P347" s="41"/>
      <c r="Q347" s="41"/>
    </row>
    <row r="348" spans="7:17">
      <c r="G348" s="87"/>
      <c r="H348" s="88"/>
      <c r="I348" s="89"/>
      <c r="J348" s="90"/>
      <c r="K348" s="30"/>
      <c r="L348" s="31"/>
      <c r="M348" s="31"/>
      <c r="N348" s="31"/>
      <c r="O348" s="32"/>
      <c r="P348" s="33"/>
      <c r="Q348" s="41"/>
    </row>
    <row r="349" spans="7:17">
      <c r="G349" s="110"/>
      <c r="H349" s="85"/>
      <c r="I349" s="86"/>
      <c r="J349" s="83"/>
      <c r="K349" s="38"/>
      <c r="L349" s="39"/>
      <c r="M349" s="39"/>
      <c r="N349" s="39"/>
      <c r="O349" s="40"/>
      <c r="P349" s="41"/>
      <c r="Q349" s="41"/>
    </row>
    <row r="350" spans="7:17">
      <c r="G350" s="111"/>
      <c r="H350" s="88"/>
      <c r="I350" s="89"/>
      <c r="J350" s="90"/>
      <c r="K350" s="30"/>
      <c r="L350" s="31"/>
      <c r="M350" s="31"/>
      <c r="N350" s="31"/>
      <c r="O350" s="32"/>
      <c r="P350" s="33"/>
      <c r="Q350" s="41"/>
    </row>
    <row r="351" spans="7:17">
      <c r="G351" s="110"/>
      <c r="H351" s="85"/>
      <c r="I351" s="86"/>
      <c r="J351" s="83"/>
      <c r="K351" s="38"/>
      <c r="L351" s="39"/>
      <c r="M351" s="39"/>
      <c r="N351" s="39"/>
      <c r="O351" s="40"/>
      <c r="P351" s="41"/>
      <c r="Q351" s="41"/>
    </row>
    <row r="352" spans="7:17">
      <c r="G352" s="87"/>
      <c r="H352" s="88"/>
      <c r="I352" s="89"/>
      <c r="J352" s="90"/>
      <c r="K352" s="30"/>
      <c r="L352" s="31"/>
      <c r="M352" s="31"/>
      <c r="N352" s="31"/>
      <c r="O352" s="32"/>
      <c r="P352" s="33"/>
      <c r="Q352" s="41"/>
    </row>
    <row r="353" spans="7:17">
      <c r="G353" s="84"/>
      <c r="H353" s="85"/>
      <c r="I353" s="86"/>
      <c r="J353" s="83"/>
      <c r="K353" s="38"/>
      <c r="L353" s="39"/>
      <c r="M353" s="39"/>
      <c r="N353" s="39"/>
      <c r="O353" s="40"/>
      <c r="P353" s="41"/>
      <c r="Q353" s="41"/>
    </row>
    <row r="354" spans="7:17">
      <c r="G354" s="111"/>
      <c r="H354" s="88"/>
      <c r="I354" s="89"/>
      <c r="J354" s="90"/>
      <c r="K354" s="30"/>
      <c r="L354" s="31"/>
      <c r="M354" s="31"/>
      <c r="N354" s="31"/>
      <c r="O354" s="32"/>
      <c r="P354" s="33"/>
    </row>
    <row r="355" spans="7:17">
      <c r="G355" s="110"/>
      <c r="H355" s="85"/>
      <c r="I355" s="86"/>
      <c r="J355" s="83"/>
      <c r="K355" s="38"/>
      <c r="L355" s="39"/>
      <c r="M355" s="39"/>
      <c r="N355" s="39"/>
      <c r="O355" s="40"/>
      <c r="P355" s="41"/>
    </row>
    <row r="356" spans="7:17">
      <c r="G356" s="111"/>
      <c r="H356" s="88"/>
      <c r="I356" s="89"/>
      <c r="J356" s="90"/>
      <c r="K356" s="30"/>
      <c r="L356" s="31"/>
      <c r="M356" s="31"/>
      <c r="N356" s="31"/>
      <c r="O356" s="32"/>
      <c r="P356" s="33"/>
    </row>
    <row r="357" spans="7:17">
      <c r="G357" s="84"/>
      <c r="H357" s="85"/>
      <c r="I357" s="86"/>
      <c r="J357" s="83"/>
      <c r="K357" s="38"/>
      <c r="L357" s="39"/>
      <c r="M357" s="39"/>
      <c r="N357" s="39"/>
      <c r="O357" s="40"/>
      <c r="P357" s="41"/>
    </row>
    <row r="358" spans="7:17">
      <c r="G358" s="111"/>
      <c r="H358" s="88"/>
      <c r="I358" s="89"/>
      <c r="J358" s="90"/>
      <c r="K358" s="30"/>
      <c r="L358" s="31"/>
      <c r="M358" s="31"/>
      <c r="N358" s="31"/>
      <c r="O358" s="32"/>
      <c r="P358" s="33"/>
    </row>
    <row r="359" spans="7:17">
      <c r="G359" s="110"/>
      <c r="H359" s="85"/>
      <c r="I359" s="86"/>
      <c r="J359" s="83"/>
      <c r="K359" s="38"/>
      <c r="L359" s="39"/>
      <c r="M359" s="39"/>
      <c r="N359" s="39"/>
      <c r="O359" s="40"/>
      <c r="P359" s="41"/>
    </row>
    <row r="360" spans="7:17">
      <c r="G360" s="111"/>
      <c r="H360" s="88"/>
      <c r="I360" s="89"/>
      <c r="J360" s="90"/>
      <c r="K360" s="30"/>
      <c r="L360" s="31"/>
      <c r="M360" s="31"/>
      <c r="N360" s="31"/>
      <c r="O360" s="32"/>
      <c r="P360" s="33"/>
    </row>
    <row r="361" spans="7:17">
      <c r="G361" s="110"/>
      <c r="H361" s="85"/>
      <c r="I361" s="86"/>
      <c r="J361" s="83"/>
      <c r="K361" s="38"/>
      <c r="L361" s="39"/>
      <c r="M361" s="39"/>
      <c r="N361" s="39"/>
      <c r="O361" s="40"/>
      <c r="P361" s="41"/>
    </row>
    <row r="362" spans="7:17">
      <c r="G362" s="111"/>
      <c r="H362" s="88"/>
      <c r="I362" s="89"/>
      <c r="J362" s="90"/>
      <c r="K362" s="30"/>
      <c r="L362" s="31"/>
      <c r="M362" s="31"/>
      <c r="N362" s="31"/>
      <c r="O362" s="32"/>
      <c r="P362" s="33"/>
    </row>
    <row r="363" spans="7:17">
      <c r="G363" s="91"/>
      <c r="H363" s="85"/>
      <c r="I363" s="86"/>
      <c r="J363" s="83"/>
      <c r="K363" s="38"/>
      <c r="L363" s="39"/>
      <c r="M363" s="39"/>
      <c r="N363" s="39"/>
      <c r="O363" s="40"/>
      <c r="P363" s="41"/>
    </row>
    <row r="364" spans="7:17">
      <c r="G364" s="111"/>
      <c r="H364" s="88"/>
      <c r="I364" s="89"/>
      <c r="J364" s="90"/>
      <c r="K364" s="30"/>
      <c r="L364" s="31"/>
      <c r="M364" s="31"/>
      <c r="N364" s="31"/>
      <c r="O364" s="32"/>
      <c r="P364" s="33"/>
    </row>
    <row r="365" spans="7:17">
      <c r="G365" s="110"/>
      <c r="H365" s="85"/>
      <c r="I365" s="86"/>
      <c r="J365" s="83"/>
      <c r="K365" s="38"/>
      <c r="L365" s="39"/>
      <c r="M365" s="39"/>
      <c r="N365" s="39"/>
      <c r="O365" s="40"/>
      <c r="P365" s="41"/>
    </row>
    <row r="366" spans="7:17">
      <c r="G366" s="111"/>
      <c r="H366" s="88"/>
      <c r="I366" s="89"/>
      <c r="J366" s="90"/>
      <c r="K366" s="30"/>
      <c r="L366" s="31"/>
      <c r="M366" s="31"/>
      <c r="N366" s="31"/>
      <c r="O366" s="32"/>
      <c r="P366" s="33"/>
    </row>
    <row r="367" spans="7:17">
      <c r="G367" s="110"/>
      <c r="H367" s="85"/>
      <c r="I367" s="86"/>
      <c r="J367" s="83"/>
      <c r="K367" s="38"/>
      <c r="L367" s="39"/>
      <c r="M367" s="39"/>
      <c r="N367" s="39"/>
      <c r="O367" s="40"/>
      <c r="P367" s="41"/>
    </row>
    <row r="368" spans="7:17">
      <c r="G368" s="111"/>
      <c r="H368" s="88"/>
      <c r="I368" s="89"/>
      <c r="J368" s="90"/>
      <c r="K368" s="30"/>
      <c r="L368" s="31"/>
      <c r="M368" s="31"/>
      <c r="N368" s="31"/>
      <c r="O368" s="32"/>
      <c r="P368" s="33"/>
    </row>
    <row r="369" spans="7:16">
      <c r="G369" s="84"/>
      <c r="H369" s="85"/>
      <c r="I369" s="86"/>
      <c r="J369" s="83"/>
      <c r="K369" s="38"/>
      <c r="L369" s="39"/>
      <c r="M369" s="39"/>
      <c r="N369" s="39"/>
      <c r="O369" s="40"/>
      <c r="P369" s="41"/>
    </row>
    <row r="370" spans="7:16">
      <c r="G370" s="111"/>
      <c r="H370" s="88"/>
      <c r="I370" s="89"/>
      <c r="J370" s="90"/>
      <c r="K370" s="30"/>
      <c r="L370" s="31"/>
      <c r="M370" s="31"/>
      <c r="N370" s="31"/>
      <c r="O370" s="32"/>
      <c r="P370" s="33"/>
    </row>
    <row r="371" spans="7:16">
      <c r="G371" s="110"/>
      <c r="H371" s="85"/>
      <c r="I371" s="86"/>
      <c r="J371" s="83"/>
      <c r="K371" s="38"/>
      <c r="L371" s="39"/>
      <c r="M371" s="39"/>
      <c r="N371" s="39"/>
      <c r="O371" s="40"/>
      <c r="P371" s="41"/>
    </row>
    <row r="372" spans="7:16">
      <c r="G372" s="92"/>
      <c r="H372" s="88"/>
      <c r="I372" s="89"/>
      <c r="J372" s="90"/>
      <c r="K372" s="30"/>
      <c r="L372" s="31"/>
      <c r="M372" s="31"/>
      <c r="N372" s="31"/>
      <c r="O372" s="32"/>
      <c r="P372" s="33"/>
    </row>
    <row r="373" spans="7:16">
      <c r="G373" s="84"/>
      <c r="H373" s="85"/>
      <c r="I373" s="86"/>
      <c r="J373" s="83"/>
      <c r="K373" s="38"/>
      <c r="L373" s="39"/>
      <c r="M373" s="39"/>
      <c r="N373" s="39"/>
      <c r="O373" s="40"/>
      <c r="P373" s="41"/>
    </row>
    <row r="374" spans="7:16">
      <c r="G374" s="111"/>
      <c r="H374" s="88"/>
      <c r="I374" s="89"/>
      <c r="J374" s="90"/>
      <c r="K374" s="30"/>
      <c r="L374" s="31"/>
      <c r="M374" s="31"/>
      <c r="N374" s="31"/>
      <c r="O374" s="32"/>
      <c r="P374" s="33"/>
    </row>
    <row r="375" spans="7:16">
      <c r="G375" s="110"/>
      <c r="H375" s="85"/>
      <c r="I375" s="86"/>
      <c r="J375" s="83"/>
      <c r="K375" s="38"/>
      <c r="L375" s="39"/>
      <c r="M375" s="39"/>
      <c r="N375" s="39"/>
      <c r="O375" s="40"/>
      <c r="P375" s="41"/>
    </row>
    <row r="376" spans="7:16">
      <c r="G376" s="111"/>
      <c r="H376" s="88"/>
      <c r="I376" s="89"/>
      <c r="J376" s="90"/>
      <c r="K376" s="30"/>
      <c r="L376" s="31"/>
      <c r="M376" s="31"/>
      <c r="N376" s="31"/>
      <c r="O376" s="32"/>
      <c r="P376" s="33"/>
    </row>
    <row r="377" spans="7:16">
      <c r="G377" s="110"/>
      <c r="H377" s="85"/>
      <c r="I377" s="86"/>
      <c r="J377" s="83"/>
      <c r="K377" s="38"/>
      <c r="L377" s="39"/>
      <c r="M377" s="39"/>
      <c r="N377" s="39"/>
      <c r="O377" s="40"/>
      <c r="P377" s="41"/>
    </row>
    <row r="378" spans="7:16">
      <c r="G378" s="87"/>
      <c r="H378" s="88"/>
      <c r="I378" s="89"/>
      <c r="J378" s="90"/>
      <c r="K378" s="30"/>
      <c r="L378" s="31"/>
      <c r="M378" s="31"/>
      <c r="N378" s="31"/>
      <c r="O378" s="32"/>
      <c r="P378" s="33"/>
    </row>
    <row r="379" spans="7:16">
      <c r="G379" s="84"/>
      <c r="H379" s="85"/>
      <c r="I379" s="86"/>
      <c r="J379" s="83"/>
      <c r="K379" s="38"/>
      <c r="L379" s="39"/>
      <c r="M379" s="39"/>
      <c r="N379" s="39"/>
      <c r="O379" s="40"/>
      <c r="P379" s="41"/>
    </row>
    <row r="380" spans="7:16">
      <c r="G380" s="111"/>
      <c r="H380" s="88"/>
      <c r="I380" s="89"/>
      <c r="J380" s="90"/>
      <c r="K380" s="30"/>
      <c r="L380" s="31"/>
      <c r="M380" s="31"/>
      <c r="N380" s="31"/>
      <c r="O380" s="32"/>
      <c r="P380" s="33"/>
    </row>
    <row r="381" spans="7:16">
      <c r="G381" s="110"/>
      <c r="H381" s="85"/>
      <c r="I381" s="86"/>
      <c r="J381" s="83"/>
      <c r="K381" s="38"/>
      <c r="L381" s="39"/>
      <c r="M381" s="39"/>
      <c r="N381" s="39"/>
      <c r="O381" s="40"/>
      <c r="P381" s="41"/>
    </row>
    <row r="382" spans="7:16">
      <c r="G382" s="111"/>
      <c r="H382" s="88"/>
      <c r="I382" s="89"/>
      <c r="J382" s="90"/>
      <c r="K382" s="30"/>
      <c r="L382" s="31"/>
      <c r="M382" s="31"/>
      <c r="N382" s="31"/>
      <c r="O382" s="32"/>
      <c r="P382" s="33"/>
    </row>
    <row r="383" spans="7:16">
      <c r="G383" s="84"/>
      <c r="H383" s="85"/>
      <c r="I383" s="86"/>
      <c r="J383" s="83"/>
      <c r="K383" s="38"/>
      <c r="L383" s="39"/>
      <c r="M383" s="39"/>
      <c r="N383" s="39"/>
      <c r="O383" s="40"/>
      <c r="P383" s="41"/>
    </row>
    <row r="384" spans="7:16">
      <c r="G384" s="111"/>
      <c r="H384" s="88"/>
      <c r="I384" s="89"/>
      <c r="J384" s="90"/>
      <c r="K384" s="30"/>
      <c r="L384" s="31"/>
      <c r="M384" s="31"/>
      <c r="N384" s="31"/>
      <c r="O384" s="32"/>
      <c r="P384" s="33"/>
    </row>
    <row r="385" spans="7:16">
      <c r="G385" s="110"/>
      <c r="H385" s="85"/>
      <c r="I385" s="86"/>
      <c r="J385" s="83"/>
      <c r="K385" s="38"/>
      <c r="L385" s="39"/>
      <c r="M385" s="39"/>
      <c r="N385" s="39"/>
      <c r="O385" s="40"/>
      <c r="P385" s="41"/>
    </row>
    <row r="386" spans="7:16">
      <c r="G386" s="111"/>
      <c r="H386" s="88"/>
      <c r="I386" s="89"/>
      <c r="J386" s="90"/>
      <c r="K386" s="30"/>
      <c r="L386" s="31"/>
      <c r="M386" s="31"/>
      <c r="N386" s="31"/>
      <c r="O386" s="32"/>
      <c r="P386" s="33"/>
    </row>
    <row r="387" spans="7:16">
      <c r="G387" s="84"/>
      <c r="H387" s="85"/>
      <c r="I387" s="86"/>
      <c r="J387" s="83"/>
      <c r="K387" s="38"/>
      <c r="L387" s="39"/>
      <c r="M387" s="39"/>
      <c r="N387" s="39"/>
      <c r="O387" s="40"/>
      <c r="P387" s="41"/>
    </row>
    <row r="388" spans="7:16">
      <c r="G388" s="87"/>
      <c r="H388" s="88"/>
      <c r="I388" s="89"/>
      <c r="J388" s="90"/>
      <c r="K388" s="30"/>
      <c r="L388" s="31"/>
      <c r="M388" s="31"/>
      <c r="N388" s="31"/>
      <c r="O388" s="32"/>
      <c r="P388" s="33"/>
    </row>
    <row r="389" spans="7:16">
      <c r="G389" s="110"/>
      <c r="H389" s="85"/>
      <c r="I389" s="86"/>
      <c r="J389" s="83"/>
      <c r="K389" s="38"/>
      <c r="L389" s="39"/>
      <c r="M389" s="39"/>
      <c r="N389" s="39"/>
      <c r="O389" s="40"/>
      <c r="P389" s="41"/>
    </row>
    <row r="390" spans="7:16">
      <c r="G390" s="111"/>
      <c r="H390" s="88"/>
      <c r="I390" s="89"/>
      <c r="J390" s="90"/>
      <c r="K390" s="30"/>
      <c r="L390" s="31"/>
      <c r="M390" s="31"/>
      <c r="N390" s="31"/>
      <c r="O390" s="32"/>
      <c r="P390" s="33"/>
    </row>
    <row r="391" spans="7:16">
      <c r="G391" s="110"/>
      <c r="H391" s="85"/>
      <c r="I391" s="86"/>
      <c r="J391" s="83"/>
      <c r="K391" s="38"/>
      <c r="L391" s="39"/>
      <c r="M391" s="39"/>
      <c r="N391" s="39"/>
      <c r="O391" s="40"/>
      <c r="P391" s="41"/>
    </row>
    <row r="392" spans="7:16">
      <c r="G392" s="87"/>
      <c r="H392" s="88"/>
      <c r="I392" s="89"/>
      <c r="J392" s="90"/>
      <c r="K392" s="30"/>
      <c r="L392" s="31"/>
      <c r="M392" s="31"/>
      <c r="N392" s="31"/>
      <c r="O392" s="32"/>
      <c r="P392" s="33"/>
    </row>
    <row r="393" spans="7:16">
      <c r="G393" s="110"/>
      <c r="H393" s="85"/>
      <c r="I393" s="86"/>
      <c r="J393" s="83"/>
      <c r="K393" s="38"/>
      <c r="L393" s="39"/>
      <c r="M393" s="39"/>
      <c r="N393" s="39"/>
      <c r="O393" s="40"/>
      <c r="P393" s="41"/>
    </row>
    <row r="394" spans="7:16">
      <c r="G394" s="111"/>
      <c r="H394" s="88"/>
      <c r="I394" s="89"/>
      <c r="J394" s="90"/>
      <c r="K394" s="30"/>
      <c r="L394" s="31"/>
      <c r="M394" s="31"/>
      <c r="N394" s="31"/>
      <c r="O394" s="32"/>
      <c r="P394" s="33"/>
    </row>
    <row r="395" spans="7:16">
      <c r="G395" s="110"/>
      <c r="H395" s="85"/>
      <c r="I395" s="86"/>
      <c r="J395" s="83"/>
      <c r="K395" s="38"/>
      <c r="L395" s="39"/>
      <c r="M395" s="39"/>
      <c r="N395" s="39"/>
      <c r="O395" s="40"/>
      <c r="P395" s="41"/>
    </row>
    <row r="396" spans="7:16">
      <c r="G396" s="111"/>
      <c r="H396" s="88"/>
      <c r="I396" s="89"/>
      <c r="J396" s="90"/>
      <c r="K396" s="30"/>
      <c r="L396" s="31"/>
      <c r="M396" s="31"/>
      <c r="N396" s="31"/>
      <c r="O396" s="32"/>
      <c r="P396" s="33"/>
    </row>
    <row r="397" spans="7:16">
      <c r="G397" s="84"/>
      <c r="H397" s="85"/>
      <c r="I397" s="86"/>
      <c r="J397" s="83"/>
      <c r="K397" s="38"/>
      <c r="L397" s="39"/>
      <c r="M397" s="39"/>
      <c r="N397" s="39"/>
      <c r="O397" s="40"/>
      <c r="P397" s="41"/>
    </row>
    <row r="398" spans="7:16">
      <c r="G398" s="111"/>
      <c r="H398" s="88"/>
      <c r="I398" s="89"/>
      <c r="J398" s="90"/>
      <c r="K398" s="30"/>
      <c r="L398" s="31"/>
      <c r="M398" s="31"/>
      <c r="N398" s="31"/>
      <c r="O398" s="32"/>
      <c r="P398" s="33"/>
    </row>
    <row r="399" spans="7:16">
      <c r="G399" s="110"/>
      <c r="H399" s="85"/>
      <c r="I399" s="86"/>
      <c r="J399" s="83"/>
      <c r="K399" s="38"/>
      <c r="L399" s="39"/>
      <c r="M399" s="39"/>
      <c r="N399" s="39"/>
      <c r="O399" s="40"/>
      <c r="P399" s="41"/>
    </row>
    <row r="400" spans="7:16">
      <c r="G400" s="111"/>
      <c r="H400" s="88"/>
      <c r="I400" s="89"/>
      <c r="J400" s="90"/>
      <c r="K400" s="30"/>
      <c r="L400" s="31"/>
      <c r="M400" s="31"/>
      <c r="N400" s="31"/>
      <c r="O400" s="32"/>
      <c r="P400" s="33"/>
    </row>
    <row r="401" spans="7:16">
      <c r="G401" s="93"/>
      <c r="H401" s="85"/>
      <c r="I401" s="86"/>
      <c r="J401" s="83"/>
      <c r="K401" s="38"/>
      <c r="L401" s="39"/>
      <c r="M401" s="39"/>
      <c r="N401" s="39"/>
      <c r="O401" s="40"/>
      <c r="P401" s="41"/>
    </row>
    <row r="402" spans="7:16">
      <c r="G402" s="111"/>
      <c r="H402" s="88"/>
      <c r="I402" s="89"/>
      <c r="J402" s="90"/>
      <c r="K402" s="30"/>
      <c r="L402" s="31"/>
      <c r="M402" s="31"/>
      <c r="N402" s="31"/>
      <c r="O402" s="32"/>
      <c r="P402" s="33"/>
    </row>
    <row r="403" spans="7:16">
      <c r="G403" s="110"/>
      <c r="H403" s="85"/>
      <c r="I403" s="86"/>
      <c r="J403" s="83"/>
      <c r="K403" s="38"/>
      <c r="L403" s="39"/>
      <c r="M403" s="39"/>
      <c r="N403" s="39"/>
      <c r="O403" s="40"/>
      <c r="P403" s="41"/>
    </row>
    <row r="404" spans="7:16">
      <c r="G404" s="111"/>
      <c r="H404" s="88"/>
      <c r="I404" s="89"/>
      <c r="J404" s="90"/>
      <c r="K404" s="30"/>
      <c r="L404" s="31"/>
      <c r="M404" s="31"/>
      <c r="N404" s="31"/>
      <c r="O404" s="32"/>
      <c r="P404" s="33"/>
    </row>
    <row r="405" spans="7:16">
      <c r="G405" s="84"/>
      <c r="H405" s="85"/>
      <c r="I405" s="86"/>
      <c r="J405" s="83"/>
      <c r="K405" s="38"/>
      <c r="L405" s="39"/>
      <c r="M405" s="39"/>
      <c r="N405" s="39"/>
      <c r="O405" s="40"/>
      <c r="P405" s="41"/>
    </row>
    <row r="406" spans="7:16">
      <c r="G406" s="111"/>
      <c r="H406" s="88"/>
      <c r="I406" s="89"/>
      <c r="J406" s="90"/>
      <c r="K406" s="30"/>
      <c r="L406" s="31"/>
      <c r="M406" s="31"/>
      <c r="N406" s="31"/>
      <c r="O406" s="32"/>
      <c r="P406" s="33"/>
    </row>
    <row r="407" spans="7:16">
      <c r="G407" s="110"/>
      <c r="H407" s="85"/>
      <c r="I407" s="86"/>
      <c r="J407" s="83"/>
      <c r="K407" s="38"/>
      <c r="L407" s="39"/>
      <c r="M407" s="39"/>
      <c r="N407" s="39"/>
      <c r="O407" s="40"/>
      <c r="P407" s="41"/>
    </row>
    <row r="408" spans="7:16">
      <c r="G408" s="111"/>
      <c r="H408" s="88"/>
      <c r="I408" s="89"/>
      <c r="J408" s="90"/>
      <c r="K408" s="30"/>
      <c r="L408" s="31"/>
      <c r="M408" s="31"/>
      <c r="N408" s="31"/>
      <c r="O408" s="32"/>
      <c r="P408" s="33"/>
    </row>
    <row r="409" spans="7:16">
      <c r="G409" s="84"/>
      <c r="H409" s="110"/>
      <c r="I409" s="110"/>
      <c r="J409" s="110"/>
      <c r="K409" s="110"/>
      <c r="L409" s="110"/>
      <c r="M409" s="110"/>
      <c r="N409" s="110"/>
      <c r="O409" s="110"/>
      <c r="P409" s="112"/>
    </row>
    <row r="410" spans="7:16">
      <c r="G410" s="87"/>
      <c r="H410" s="111"/>
      <c r="I410" s="111"/>
      <c r="J410" s="111"/>
      <c r="K410" s="111"/>
      <c r="L410" s="111"/>
      <c r="M410" s="111"/>
      <c r="N410" s="111"/>
      <c r="O410" s="111"/>
      <c r="P410" s="113"/>
    </row>
    <row r="411" spans="7:16">
      <c r="G411" s="110"/>
      <c r="H411" s="110"/>
      <c r="I411" s="110"/>
      <c r="J411" s="110"/>
      <c r="K411" s="110"/>
      <c r="L411" s="110"/>
      <c r="M411" s="110"/>
      <c r="N411" s="110"/>
      <c r="O411" s="110"/>
      <c r="P411" s="112"/>
    </row>
    <row r="412" spans="7:16">
      <c r="G412" s="111"/>
      <c r="H412" s="111"/>
      <c r="I412" s="111"/>
      <c r="J412" s="111"/>
      <c r="K412" s="111"/>
      <c r="L412" s="111"/>
      <c r="M412" s="111"/>
      <c r="N412" s="111"/>
      <c r="O412" s="111"/>
      <c r="P412" s="113"/>
    </row>
    <row r="413" spans="7:16">
      <c r="G413" s="110"/>
      <c r="H413" s="110"/>
      <c r="I413" s="110"/>
      <c r="J413" s="110"/>
      <c r="K413" s="110"/>
      <c r="L413" s="110"/>
      <c r="M413" s="110"/>
      <c r="N413" s="110"/>
      <c r="O413" s="110"/>
      <c r="P413" s="112"/>
    </row>
    <row r="414" spans="7:16">
      <c r="G414" s="111"/>
      <c r="H414" s="111"/>
      <c r="I414" s="111"/>
      <c r="J414" s="111"/>
      <c r="K414" s="111"/>
      <c r="L414" s="111"/>
      <c r="M414" s="111"/>
      <c r="N414" s="111"/>
      <c r="O414" s="111"/>
      <c r="P414" s="113"/>
    </row>
    <row r="415" spans="7:16">
      <c r="G415" s="84"/>
      <c r="H415" s="110"/>
      <c r="I415" s="110"/>
      <c r="J415" s="110"/>
      <c r="K415" s="110"/>
      <c r="L415" s="110"/>
      <c r="M415" s="110"/>
      <c r="N415" s="110"/>
      <c r="O415" s="110"/>
      <c r="P415" s="112"/>
    </row>
    <row r="416" spans="7:16">
      <c r="G416" s="111"/>
      <c r="H416" s="111"/>
      <c r="I416" s="111"/>
      <c r="J416" s="111"/>
      <c r="K416" s="111"/>
      <c r="L416" s="111"/>
      <c r="M416" s="111"/>
      <c r="N416" s="111"/>
      <c r="O416" s="111"/>
      <c r="P416" s="113"/>
    </row>
    <row r="417" spans="7:16">
      <c r="G417" s="110"/>
      <c r="H417" s="110"/>
      <c r="I417" s="110"/>
      <c r="J417" s="110"/>
      <c r="K417" s="110"/>
      <c r="L417" s="110"/>
      <c r="M417" s="110"/>
      <c r="N417" s="110"/>
      <c r="O417" s="110"/>
      <c r="P417" s="112"/>
    </row>
    <row r="418" spans="7:16">
      <c r="G418" s="111"/>
      <c r="H418" s="111"/>
      <c r="I418" s="111"/>
      <c r="J418" s="111"/>
      <c r="K418" s="111"/>
      <c r="L418" s="111"/>
      <c r="M418" s="111"/>
      <c r="N418" s="111"/>
      <c r="O418" s="111"/>
      <c r="P418" s="113"/>
    </row>
    <row r="419" spans="7:16">
      <c r="G419" s="84"/>
      <c r="H419" s="110"/>
      <c r="I419" s="110"/>
      <c r="J419" s="110"/>
      <c r="K419" s="110"/>
      <c r="L419" s="110"/>
      <c r="M419" s="110"/>
      <c r="N419" s="110"/>
      <c r="O419" s="110"/>
      <c r="P419" s="112"/>
    </row>
    <row r="420" spans="7:16">
      <c r="G420" s="111"/>
      <c r="H420" s="111"/>
      <c r="I420" s="111"/>
      <c r="J420" s="111"/>
      <c r="K420" s="111"/>
      <c r="L420" s="111"/>
      <c r="M420" s="111"/>
      <c r="N420" s="111"/>
      <c r="O420" s="111"/>
      <c r="P420" s="113"/>
    </row>
    <row r="421" spans="7:16">
      <c r="G421" s="110"/>
      <c r="H421" s="110"/>
      <c r="I421" s="110"/>
      <c r="J421" s="110"/>
      <c r="K421" s="110"/>
      <c r="L421" s="110"/>
      <c r="M421" s="110"/>
      <c r="N421" s="110"/>
      <c r="O421" s="110"/>
      <c r="P421" s="112"/>
    </row>
    <row r="422" spans="7:16">
      <c r="G422" s="111"/>
      <c r="H422" s="111"/>
      <c r="I422" s="111"/>
      <c r="J422" s="111"/>
      <c r="K422" s="111"/>
      <c r="L422" s="111"/>
      <c r="M422" s="111"/>
      <c r="N422" s="111"/>
      <c r="O422" s="111"/>
      <c r="P422" s="113"/>
    </row>
    <row r="423" spans="7:16">
      <c r="G423" s="84"/>
      <c r="H423" s="110"/>
      <c r="I423" s="110"/>
      <c r="J423" s="110"/>
      <c r="K423" s="110"/>
      <c r="L423" s="110"/>
      <c r="M423" s="110"/>
      <c r="N423" s="110"/>
      <c r="O423" s="110"/>
      <c r="P423" s="112"/>
    </row>
    <row r="424" spans="7:16">
      <c r="G424" s="111"/>
      <c r="H424" s="111"/>
      <c r="I424" s="111"/>
      <c r="J424" s="111"/>
      <c r="K424" s="111"/>
      <c r="L424" s="111"/>
      <c r="M424" s="111"/>
      <c r="N424" s="111"/>
      <c r="O424" s="111"/>
      <c r="P424" s="113"/>
    </row>
    <row r="425" spans="7:16">
      <c r="G425" s="110"/>
      <c r="H425" s="110"/>
      <c r="I425" s="110"/>
      <c r="J425" s="110"/>
      <c r="K425" s="110"/>
      <c r="L425" s="110"/>
      <c r="M425" s="110"/>
      <c r="N425" s="110"/>
      <c r="O425" s="110"/>
      <c r="P425" s="112"/>
    </row>
    <row r="426" spans="7:16">
      <c r="G426" s="111"/>
      <c r="H426" s="111"/>
      <c r="I426" s="111"/>
      <c r="J426" s="111"/>
      <c r="K426" s="111"/>
      <c r="L426" s="111"/>
      <c r="M426" s="111"/>
      <c r="N426" s="111"/>
      <c r="O426" s="111"/>
      <c r="P426" s="113"/>
    </row>
    <row r="427" spans="7:16">
      <c r="G427" s="84"/>
      <c r="H427" s="110"/>
      <c r="I427" s="110"/>
      <c r="J427" s="110"/>
      <c r="K427" s="110"/>
      <c r="L427" s="110"/>
      <c r="M427" s="110"/>
      <c r="N427" s="110"/>
      <c r="O427" s="110"/>
      <c r="P427" s="112"/>
    </row>
    <row r="428" spans="7:16">
      <c r="G428" s="111"/>
      <c r="H428" s="111"/>
      <c r="I428" s="111"/>
      <c r="J428" s="111"/>
      <c r="K428" s="111"/>
      <c r="L428" s="111"/>
      <c r="M428" s="111"/>
      <c r="N428" s="111"/>
      <c r="O428" s="111"/>
      <c r="P428" s="113"/>
    </row>
    <row r="429" spans="7:16">
      <c r="G429" s="110"/>
      <c r="H429" s="110"/>
      <c r="I429" s="110"/>
      <c r="J429" s="110"/>
      <c r="K429" s="110"/>
      <c r="L429" s="110"/>
      <c r="M429" s="110"/>
      <c r="N429" s="110"/>
      <c r="O429" s="110"/>
      <c r="P429" s="112"/>
    </row>
    <row r="430" spans="7:16">
      <c r="G430" s="111"/>
      <c r="H430" s="111"/>
      <c r="I430" s="111"/>
      <c r="J430" s="111"/>
      <c r="K430" s="111"/>
      <c r="L430" s="111"/>
      <c r="M430" s="111"/>
      <c r="N430" s="111"/>
      <c r="O430" s="111"/>
      <c r="P430" s="113"/>
    </row>
    <row r="431" spans="7:16">
      <c r="G431" s="84"/>
      <c r="H431" s="110"/>
      <c r="I431" s="110"/>
      <c r="J431" s="110"/>
      <c r="K431" s="110"/>
      <c r="L431" s="110"/>
      <c r="M431" s="110"/>
      <c r="N431" s="110"/>
      <c r="O431" s="110"/>
      <c r="P431" s="112"/>
    </row>
    <row r="432" spans="7:16">
      <c r="G432" s="87"/>
      <c r="H432" s="111"/>
      <c r="I432" s="111"/>
      <c r="J432" s="111"/>
      <c r="K432" s="111"/>
      <c r="L432" s="111"/>
      <c r="M432" s="111"/>
      <c r="N432" s="111"/>
      <c r="O432" s="111"/>
      <c r="P432" s="113"/>
    </row>
    <row r="433" spans="7:16">
      <c r="G433" s="110"/>
      <c r="H433" s="110"/>
      <c r="I433" s="110"/>
      <c r="J433" s="110"/>
      <c r="K433" s="110"/>
      <c r="L433" s="110"/>
      <c r="M433" s="110"/>
      <c r="N433" s="110"/>
      <c r="O433" s="110"/>
      <c r="P433" s="112"/>
    </row>
    <row r="434" spans="7:16">
      <c r="G434" s="111"/>
      <c r="H434" s="111"/>
      <c r="I434" s="111"/>
      <c r="J434" s="111"/>
      <c r="K434" s="111"/>
      <c r="L434" s="111"/>
      <c r="M434" s="111"/>
      <c r="N434" s="111"/>
      <c r="O434" s="111"/>
      <c r="P434" s="113"/>
    </row>
    <row r="435" spans="7:16">
      <c r="G435" s="110"/>
      <c r="H435" s="110"/>
      <c r="I435" s="110"/>
      <c r="J435" s="110"/>
      <c r="K435" s="110"/>
      <c r="L435" s="110"/>
      <c r="M435" s="110"/>
      <c r="N435" s="110"/>
      <c r="O435" s="110"/>
      <c r="P435" s="112"/>
    </row>
    <row r="436" spans="7:16">
      <c r="G436" s="87"/>
      <c r="H436" s="111"/>
      <c r="I436" s="111"/>
      <c r="J436" s="111"/>
      <c r="K436" s="111"/>
      <c r="L436" s="111"/>
      <c r="M436" s="111"/>
      <c r="N436" s="111"/>
      <c r="O436" s="111"/>
      <c r="P436" s="113"/>
    </row>
    <row r="437" spans="7:16">
      <c r="G437" s="110"/>
      <c r="H437" s="110"/>
      <c r="I437" s="110"/>
      <c r="J437" s="110"/>
      <c r="K437" s="110"/>
      <c r="L437" s="110"/>
      <c r="M437" s="110"/>
      <c r="N437" s="110"/>
      <c r="O437" s="110"/>
      <c r="P437" s="112"/>
    </row>
    <row r="438" spans="7:16">
      <c r="G438" s="111"/>
      <c r="H438" s="111"/>
      <c r="I438" s="111"/>
      <c r="J438" s="111"/>
      <c r="K438" s="111"/>
      <c r="L438" s="111"/>
      <c r="M438" s="111"/>
      <c r="N438" s="111"/>
      <c r="O438" s="111"/>
      <c r="P438" s="113"/>
    </row>
    <row r="439" spans="7:16">
      <c r="G439" s="110"/>
      <c r="H439" s="110"/>
      <c r="I439" s="110"/>
      <c r="J439" s="110"/>
      <c r="K439" s="110"/>
      <c r="L439" s="110"/>
      <c r="M439" s="110"/>
      <c r="N439" s="110"/>
      <c r="O439" s="110"/>
      <c r="P439" s="112"/>
    </row>
    <row r="440" spans="7:16">
      <c r="G440" s="111"/>
      <c r="H440" s="111"/>
      <c r="I440" s="111"/>
      <c r="J440" s="111"/>
      <c r="K440" s="111"/>
      <c r="L440" s="111"/>
      <c r="M440" s="111"/>
      <c r="N440" s="111"/>
      <c r="O440" s="111"/>
      <c r="P440" s="113"/>
    </row>
    <row r="441" spans="7:16">
      <c r="G441" s="84"/>
      <c r="H441" s="110"/>
      <c r="I441" s="110"/>
      <c r="J441" s="110"/>
      <c r="K441" s="110"/>
      <c r="L441" s="110"/>
      <c r="M441" s="110"/>
      <c r="N441" s="110"/>
      <c r="O441" s="110"/>
      <c r="P441" s="112"/>
    </row>
    <row r="442" spans="7:16">
      <c r="G442" s="87"/>
      <c r="H442" s="111"/>
      <c r="I442" s="111"/>
      <c r="J442" s="111"/>
      <c r="K442" s="111"/>
      <c r="L442" s="111"/>
      <c r="M442" s="111"/>
      <c r="N442" s="111"/>
      <c r="O442" s="111"/>
      <c r="P442" s="113"/>
    </row>
    <row r="443" spans="7:16">
      <c r="G443" s="110"/>
      <c r="H443" s="110"/>
      <c r="I443" s="110"/>
      <c r="J443" s="110"/>
      <c r="K443" s="110"/>
      <c r="L443" s="110"/>
      <c r="M443" s="110"/>
      <c r="N443" s="110"/>
      <c r="O443" s="110"/>
      <c r="P443" s="112"/>
    </row>
    <row r="444" spans="7:16">
      <c r="G444" s="111"/>
      <c r="H444" s="111"/>
      <c r="I444" s="111"/>
      <c r="J444" s="111"/>
      <c r="K444" s="111"/>
      <c r="L444" s="111"/>
      <c r="M444" s="111"/>
      <c r="N444" s="111"/>
      <c r="O444" s="111"/>
      <c r="P444" s="113"/>
    </row>
    <row r="445" spans="7:16">
      <c r="G445" s="110"/>
      <c r="H445" s="110"/>
      <c r="I445" s="110"/>
      <c r="J445" s="110"/>
      <c r="K445" s="110"/>
      <c r="L445" s="110"/>
      <c r="M445" s="110"/>
      <c r="N445" s="110"/>
      <c r="O445" s="110"/>
      <c r="P445" s="112"/>
    </row>
    <row r="446" spans="7:16">
      <c r="G446" s="111"/>
      <c r="H446" s="111"/>
      <c r="I446" s="111"/>
      <c r="J446" s="111"/>
      <c r="K446" s="111"/>
      <c r="L446" s="111"/>
      <c r="M446" s="111"/>
      <c r="N446" s="111"/>
      <c r="O446" s="111"/>
      <c r="P446" s="113"/>
    </row>
    <row r="447" spans="7:16">
      <c r="G447" s="110"/>
      <c r="H447" s="110"/>
      <c r="I447" s="110"/>
      <c r="J447" s="110"/>
      <c r="K447" s="110"/>
      <c r="L447" s="110"/>
      <c r="M447" s="110"/>
      <c r="N447" s="110"/>
      <c r="O447" s="110"/>
      <c r="P447" s="112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elwison.denampo@cit.edu</cp:lastModifiedBy>
  <cp:revision/>
  <dcterms:created xsi:type="dcterms:W3CDTF">2025-08-30T01:44:14Z</dcterms:created>
  <dcterms:modified xsi:type="dcterms:W3CDTF">2025-11-17T18:48:18Z</dcterms:modified>
  <cp:category/>
  <cp:contentStatus/>
</cp:coreProperties>
</file>