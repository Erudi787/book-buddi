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Elwison Denampo\Downloads\"/>
    </mc:Choice>
  </mc:AlternateContent>
  <xr:revisionPtr revIDLastSave="0" documentId="13_ncr:1_{45A21FE8-49C3-49CA-92ED-94F6A3F6598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ver" sheetId="3" r:id="rId1"/>
    <sheet name="Revision History" sheetId="4" r:id="rId2"/>
    <sheet name="Function List" sheetId="5" r:id="rId3"/>
    <sheet name="Jumpstart Program Schedule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5" l="1"/>
  <c r="E52" i="5"/>
  <c r="N146" i="1"/>
  <c r="L146" i="1"/>
  <c r="N145" i="1"/>
  <c r="L145" i="1"/>
  <c r="N144" i="1"/>
  <c r="L144" i="1"/>
  <c r="N143" i="1"/>
  <c r="L143" i="1"/>
  <c r="N142" i="1"/>
  <c r="L142" i="1"/>
  <c r="N141" i="1"/>
  <c r="L141" i="1"/>
  <c r="N140" i="1"/>
  <c r="L140" i="1"/>
  <c r="N139" i="1"/>
  <c r="L139" i="1"/>
  <c r="N138" i="1"/>
  <c r="L138" i="1"/>
  <c r="N137" i="1"/>
  <c r="L137" i="1"/>
  <c r="N136" i="1"/>
  <c r="L136" i="1"/>
  <c r="N135" i="1"/>
  <c r="L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L2" i="1"/>
  <c r="L5" i="1"/>
  <c r="L6" i="1"/>
  <c r="L29" i="1"/>
  <c r="L30" i="1"/>
  <c r="L25" i="1"/>
  <c r="L26" i="1"/>
  <c r="L27" i="1"/>
  <c r="L28" i="1"/>
  <c r="N30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tc={D26718FB-3BDC-4886-B11E-8292E6062C2B}</author>
    <author>tc={83D04E21-C2BB-4CD3-8100-2718825D2DBC}</author>
    <author>tc={5DB799F3-1884-4909-B20A-B44C4B31022C}</author>
    <author>tc={18FDFBD9-F267-43E2-971C-46BD113AFBAC}</author>
  </authors>
  <commentList>
    <comment ref="J1" authorId="0" shapeId="0" xr:uid="{D26718FB-3BDC-4886-B11E-8292E6062C2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columns can be removed</t>
      </text>
    </comment>
    <comment ref="O5" authorId="1" shapeId="0" xr:uid="{83D04E21-C2BB-4CD3-8100-2718825D2DB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 Actual Start and Actual End  columns</t>
      </text>
    </comment>
    <comment ref="A11" authorId="2" shapeId="0" xr:uid="{5DB799F3-1884-4909-B20A-B44C4B31022C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sheets are missing? 
Cover Page
Revision History
Function List</t>
      </text>
    </comment>
    <comment ref="C11" authorId="3" shapeId="0" xr:uid="{18FDFBD9-F267-43E2-971C-46BD113AF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Complete assignment of Tasks</t>
      </text>
    </comment>
  </commentList>
</comments>
</file>

<file path=xl/sharedStrings.xml><?xml version="1.0" encoding="utf-8"?>
<sst xmlns="http://schemas.openxmlformats.org/spreadsheetml/2006/main" count="235" uniqueCount="182">
  <si>
    <t>Group 6 - BookBuddi</t>
  </si>
  <si>
    <t>BookBuddi</t>
  </si>
  <si>
    <t>WBS Estimate</t>
  </si>
  <si>
    <t xml:space="preserve">  Revision No. : </t>
  </si>
  <si>
    <t xml:space="preserve">Modified By – Date : </t>
  </si>
  <si>
    <t>Denampo, Elwison - 2025/11/13</t>
  </si>
  <si>
    <t xml:space="preserve">Preliminary Review and Approval – Date : </t>
  </si>
  <si>
    <t>Last Name, First Name - yyyy/mm/dd</t>
  </si>
  <si>
    <t xml:space="preserve">Final Review and Approval – Date : </t>
  </si>
  <si>
    <t>REVISION HISTORY</t>
  </si>
  <si>
    <t>REV NO</t>
  </si>
  <si>
    <t>MODIFIED BY</t>
  </si>
  <si>
    <t>MODIFIED 
DATE</t>
  </si>
  <si>
    <t>REMARKS</t>
  </si>
  <si>
    <t>PRELIMINARY REVIEW
AND APPROVAL</t>
  </si>
  <si>
    <t>DATE REVIEWED</t>
  </si>
  <si>
    <t>FINAL REVIEW 
AND APPROVAL</t>
  </si>
  <si>
    <t>DATE 
APPROVED</t>
  </si>
  <si>
    <t>Denampo, Elwison</t>
  </si>
  <si>
    <t>Initial Creation</t>
  </si>
  <si>
    <t>Last Name, First Name</t>
  </si>
  <si>
    <t>yyyy/mm/dd</t>
  </si>
  <si>
    <t>Addition of Cover, Revision History, Function List</t>
  </si>
  <si>
    <t>Revision of Jumpstart Progam Schedule</t>
  </si>
  <si>
    <t>WBS Reference</t>
  </si>
  <si>
    <t>MODULE</t>
  </si>
  <si>
    <t>FUNCTION / DESCRIPTION / ASSUMPTIONS</t>
  </si>
  <si>
    <t>Type</t>
  </si>
  <si>
    <t>Estimate 
(MD)</t>
  </si>
  <si>
    <t>Remarks</t>
  </si>
  <si>
    <t>Job Posting</t>
  </si>
  <si>
    <t>List</t>
  </si>
  <si>
    <t>List of Job Openings</t>
  </si>
  <si>
    <t>Web</t>
  </si>
  <si>
    <t>Add</t>
  </si>
  <si>
    <t>Add new job opening</t>
  </si>
  <si>
    <t>Edit</t>
  </si>
  <si>
    <t>Edit job opening</t>
  </si>
  <si>
    <t>Delete</t>
  </si>
  <si>
    <t>Delete job opening</t>
  </si>
  <si>
    <t>Overall</t>
  </si>
  <si>
    <t>MD</t>
  </si>
  <si>
    <t>MM</t>
  </si>
  <si>
    <t>Osorio, Raphael</t>
  </si>
  <si>
    <t>Siloy, Jaspher Lawrence</t>
  </si>
  <si>
    <t>Vega, Flexter</t>
  </si>
  <si>
    <t>Rivera, Marc Gerard</t>
  </si>
  <si>
    <t>WBS</t>
  </si>
  <si>
    <t>Task</t>
  </si>
  <si>
    <t>Baseline Start</t>
  </si>
  <si>
    <t>Baseline End</t>
  </si>
  <si>
    <t>Man Hours</t>
  </si>
  <si>
    <t>Actual Hours</t>
  </si>
  <si>
    <t>Days</t>
  </si>
  <si>
    <t>Predecessors</t>
  </si>
  <si>
    <t>Actual Days Data</t>
  </si>
  <si>
    <t>Actual Start</t>
  </si>
  <si>
    <t>Actual End</t>
  </si>
  <si>
    <t>x</t>
  </si>
  <si>
    <t>PROJECT MANAGEMENT</t>
  </si>
  <si>
    <t>1.0.1</t>
  </si>
  <si>
    <t>Creation of Project Plan</t>
  </si>
  <si>
    <t>1.0.2</t>
  </si>
  <si>
    <t>Creation of WBS</t>
  </si>
  <si>
    <t>1.0.3</t>
  </si>
  <si>
    <t>Creation of HLD</t>
  </si>
  <si>
    <t>PROJECT STRUCTURE</t>
  </si>
  <si>
    <t>2.0.1</t>
  </si>
  <si>
    <t>Figma Wireframe</t>
  </si>
  <si>
    <t>2.0.2</t>
  </si>
  <si>
    <t>Color Palette Selection and Logo</t>
  </si>
  <si>
    <t>2.0.3</t>
  </si>
  <si>
    <t>Finding References</t>
  </si>
  <si>
    <t>2.0.4</t>
  </si>
  <si>
    <t>ERD Creation</t>
  </si>
  <si>
    <t>2.0.5</t>
  </si>
  <si>
    <t>Initialization of Database</t>
  </si>
  <si>
    <t>2.0.6</t>
  </si>
  <si>
    <t>Project Hierarchy</t>
  </si>
  <si>
    <t>DEVELOPMENT</t>
  </si>
  <si>
    <t>3.0.1</t>
  </si>
  <si>
    <t>LANDING PAGE</t>
  </si>
  <si>
    <t>3.0.2</t>
  </si>
  <si>
    <t xml:space="preserve">  Creating of Landing Page (Frontend)</t>
  </si>
  <si>
    <t>3.1.0</t>
  </si>
  <si>
    <t>AUTHENTICATION</t>
  </si>
  <si>
    <t xml:space="preserve"> </t>
  </si>
  <si>
    <t>3.2.0</t>
  </si>
  <si>
    <t xml:space="preserve">  LOGIN PAGE</t>
  </si>
  <si>
    <t>3.2.1</t>
  </si>
  <si>
    <t xml:space="preserve">  Design and Implement Frontend</t>
  </si>
  <si>
    <t>3.2.2</t>
  </si>
  <si>
    <t xml:space="preserve">  Configure Authentication from Backend</t>
  </si>
  <si>
    <t>3.2.3</t>
  </si>
  <si>
    <t xml:space="preserve">  Validate and Connect Frontend with Backend</t>
  </si>
  <si>
    <t>3.3.0</t>
  </si>
  <si>
    <t xml:space="preserve">  REGISTER/SIGNUP</t>
  </si>
  <si>
    <t>3.3.1</t>
  </si>
  <si>
    <t>3.3.2</t>
  </si>
  <si>
    <t>3.3.3</t>
  </si>
  <si>
    <t>3.3.4</t>
  </si>
  <si>
    <t xml:space="preserve">  Insert on new data on the database</t>
  </si>
  <si>
    <t>3.4.0</t>
  </si>
  <si>
    <t xml:space="preserve">  FORGOT PASSWORD</t>
  </si>
  <si>
    <t>3.4.1</t>
  </si>
  <si>
    <t>3.4.2</t>
  </si>
  <si>
    <t>3.4.3</t>
  </si>
  <si>
    <t>3.4.4</t>
  </si>
  <si>
    <t xml:space="preserve">  Validate token and Input for New Password</t>
  </si>
  <si>
    <t>3.4.5</t>
  </si>
  <si>
    <t xml:space="preserve">     Update User Password</t>
  </si>
  <si>
    <t>3.5.0</t>
  </si>
  <si>
    <t xml:space="preserve">  MASTER SCREENS (Dashboard)</t>
  </si>
  <si>
    <t>3.5.1</t>
  </si>
  <si>
    <t xml:space="preserve">    Admin</t>
  </si>
  <si>
    <t>3.5.2</t>
  </si>
  <si>
    <t xml:space="preserve">      LIST</t>
  </si>
  <si>
    <t>3.5.3</t>
  </si>
  <si>
    <t xml:space="preserve">     Design and Implement Frontend</t>
  </si>
  <si>
    <t>3.5.4</t>
  </si>
  <si>
    <t xml:space="preserve">     Fetch and Display all Users from Database</t>
  </si>
  <si>
    <t>3.5.5</t>
  </si>
  <si>
    <t xml:space="preserve">     Fetch and Display all Books from Database</t>
  </si>
  <si>
    <t>3.5.6</t>
  </si>
  <si>
    <t xml:space="preserve">      ADD</t>
  </si>
  <si>
    <t>3.5.7</t>
  </si>
  <si>
    <t>3.5.8</t>
  </si>
  <si>
    <t xml:space="preserve">     Implement and Insert Users in Database</t>
  </si>
  <si>
    <t>3.5.9</t>
  </si>
  <si>
    <t xml:space="preserve">     Implement and Insert Books in Database</t>
  </si>
  <si>
    <t>3.5.10</t>
  </si>
  <si>
    <t xml:space="preserve">      EDIT</t>
  </si>
  <si>
    <t>3.5.11</t>
  </si>
  <si>
    <t>3.5.12</t>
  </si>
  <si>
    <t xml:space="preserve">     Implement Edit/Update of Users in Database</t>
  </si>
  <si>
    <t>3.5.13</t>
  </si>
  <si>
    <t xml:space="preserve">     Implement Edit/Update of Books in Database</t>
  </si>
  <si>
    <t>3.5.14</t>
  </si>
  <si>
    <t xml:space="preserve">      DELETE</t>
  </si>
  <si>
    <t>3.5.15</t>
  </si>
  <si>
    <t>3.5.16</t>
  </si>
  <si>
    <t xml:space="preserve">     Implement Deletion of Users in Database</t>
  </si>
  <si>
    <t>3.5.17</t>
  </si>
  <si>
    <t xml:space="preserve">     Implement Deletion of Books in Database</t>
  </si>
  <si>
    <t>3.5.18</t>
  </si>
  <si>
    <t xml:space="preserve">      VIEW</t>
  </si>
  <si>
    <t>3.5.19</t>
  </si>
  <si>
    <t>3.5.20</t>
  </si>
  <si>
    <t xml:space="preserve">     Fetch and Display the Details of the User</t>
  </si>
  <si>
    <t>3.5.21</t>
  </si>
  <si>
    <t xml:space="preserve">     Fetch and Display the Details of a Book</t>
  </si>
  <si>
    <t>Landing Page</t>
  </si>
  <si>
    <t>User Authentication</t>
  </si>
  <si>
    <t>Login/Register Modal</t>
  </si>
  <si>
    <t>Forgot/Change Password</t>
  </si>
  <si>
    <t>Book Catalog</t>
  </si>
  <si>
    <t>Search/View Books</t>
  </si>
  <si>
    <t>Book Details</t>
  </si>
  <si>
    <t>Borrowing System</t>
  </si>
  <si>
    <t>Borrow Book</t>
  </si>
  <si>
    <t>Return Book</t>
  </si>
  <si>
    <t>Borrowing History</t>
  </si>
  <si>
    <t>Request Book</t>
  </si>
  <si>
    <t>Admin Panel</t>
  </si>
  <si>
    <t>Admin Login</t>
  </si>
  <si>
    <t>Book Management - List</t>
  </si>
  <si>
    <t>Book Management - Add</t>
  </si>
  <si>
    <t>Book Management - Edit</t>
  </si>
  <si>
    <t>Book Management - Delete</t>
  </si>
  <si>
    <t>Reporting</t>
  </si>
  <si>
    <t>Borrowing Report</t>
  </si>
  <si>
    <t>Inventory Report</t>
  </si>
  <si>
    <t>Member Report</t>
  </si>
  <si>
    <t>Request Report</t>
  </si>
  <si>
    <t>Lost Book Report</t>
  </si>
  <si>
    <t>Notifcations</t>
  </si>
  <si>
    <t>Notification Dropdown</t>
  </si>
  <si>
    <t>Notification Page</t>
  </si>
  <si>
    <t>QA</t>
  </si>
  <si>
    <t>Manual Testing</t>
  </si>
  <si>
    <t>Automated Testing</t>
  </si>
  <si>
    <t>old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</si>
</sst>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</font>
    <font>
      <sz val="10"/>
      <color theme="1"/>
      <name val="Calibri"/>
    </font>
    <font>
      <i/>
      <sz val="10"/>
      <color theme="1"/>
      <name val="Calibri"/>
    </font>
    <font>
      <b/>
      <i/>
      <sz val="10"/>
      <name val="Calibri"/>
    </font>
    <font>
      <i/>
      <sz val="10"/>
      <name val="Calibri"/>
    </font>
    <font>
      <sz val="10"/>
      <color theme="1"/>
      <name val="Aptos Narrow"/>
      <scheme val="minor"/>
    </font>
    <font>
      <sz val="10"/>
      <color rgb="FF000000"/>
      <name val="Calibri"/>
    </font>
    <font>
      <b/>
      <sz val="12"/>
      <color theme="1"/>
      <name val="Calibri"/>
    </font>
    <font>
      <b/>
      <sz val="11"/>
      <color theme="1"/>
      <name val="Calibri"/>
    </font>
    <font>
      <b/>
      <sz val="14"/>
      <color theme="1"/>
      <name val="Calibri"/>
    </font>
    <font>
      <sz val="10"/>
      <name val="Calibri"/>
    </font>
    <font>
      <sz val="11"/>
      <name val="Calibri"/>
    </font>
    <font>
      <b/>
      <sz val="10"/>
      <name val="Calibri"/>
    </font>
    <font>
      <b/>
      <sz val="10"/>
      <color rgb="FF000000"/>
      <name val="Calibri"/>
    </font>
    <font>
      <sz val="10"/>
      <name val="Arial"/>
      <family val="2"/>
    </font>
    <font>
      <b/>
      <sz val="9"/>
      <name val="Aptos Narrow"/>
      <family val="2"/>
      <scheme val="minor"/>
    </font>
    <font>
      <sz val="10"/>
      <color indexed="8"/>
      <name val="Calibri"/>
      <family val="2"/>
    </font>
    <font>
      <b/>
      <sz val="2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7"/>
      <name val="Aptos Narrow"/>
      <family val="2"/>
      <scheme val="minor"/>
    </font>
    <font>
      <sz val="8"/>
      <name val="ＭＳ Ｐゴシック"/>
      <family val="2"/>
    </font>
    <font>
      <sz val="8"/>
      <name val="Arial"/>
      <family val="2"/>
    </font>
    <font>
      <sz val="10"/>
      <name val="ＭＳ Ｐゴシック"/>
      <family val="2"/>
    </font>
    <font>
      <b/>
      <sz val="24"/>
      <name val="Arial"/>
      <family val="2"/>
    </font>
    <font>
      <b/>
      <sz val="24"/>
      <color indexed="9"/>
      <name val="Arial"/>
      <family val="2"/>
    </font>
    <font>
      <sz val="11"/>
      <name val="ＭＳ Ｐゴシック"/>
      <family val="3"/>
    </font>
    <font>
      <sz val="10"/>
      <name val="Tahoma"/>
      <family val="2"/>
    </font>
    <font>
      <b/>
      <sz val="10"/>
      <color indexed="9"/>
      <name val="Tahoma"/>
      <family val="2"/>
    </font>
    <font>
      <b/>
      <sz val="10"/>
      <color theme="0"/>
      <name val="Tahoma"/>
      <family val="2"/>
    </font>
    <font>
      <b/>
      <sz val="24"/>
      <color theme="0"/>
      <name val="Tahoma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b/>
      <sz val="10"/>
      <color theme="1"/>
      <name val="Aptos Narrow"/>
      <family val="2"/>
      <scheme val="minor"/>
    </font>
    <font>
      <sz val="12"/>
      <name val="ＭＳ Ｐゴシック"/>
      <family val="3"/>
      <charset val="128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name val="ＭＳ Ｐゴシック"/>
      <family val="3"/>
      <charset val="128"/>
    </font>
    <font>
      <b/>
      <i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name val="Calibri"/>
      <family val="2"/>
    </font>
    <font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2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indexed="63"/>
        <bgColor indexed="59"/>
      </patternFill>
    </fill>
    <fill>
      <patternFill patternType="solid">
        <fgColor rgb="FF333333"/>
        <bgColor indexed="64"/>
      </patternFill>
    </fill>
    <fill>
      <patternFill patternType="solid">
        <fgColor theme="5" tint="0.39997558519241921"/>
        <bgColor indexed="31"/>
      </patternFill>
    </fill>
    <fill>
      <patternFill patternType="solid">
        <fgColor indexed="9"/>
        <bgColor indexed="4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49977111117893"/>
        <bgColor indexed="31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auto="1"/>
      </left>
      <right style="double">
        <color indexed="8"/>
      </right>
      <top style="double">
        <color auto="1"/>
      </top>
      <bottom/>
      <diagonal/>
    </border>
    <border>
      <left style="double">
        <color indexed="8"/>
      </left>
      <right style="double">
        <color indexed="8"/>
      </right>
      <top style="double">
        <color auto="1"/>
      </top>
      <bottom/>
      <diagonal/>
    </border>
    <border>
      <left style="double">
        <color indexed="8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auto="1"/>
      </right>
      <top style="double">
        <color indexed="8"/>
      </top>
      <bottom/>
      <diagonal/>
    </border>
    <border>
      <left style="double">
        <color auto="1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auto="1"/>
      </right>
      <top/>
      <bottom style="double">
        <color indexed="8"/>
      </bottom>
      <diagonal/>
    </border>
    <border>
      <left style="double">
        <color auto="1"/>
      </left>
      <right style="double">
        <color indexed="8"/>
      </right>
      <top/>
      <bottom style="double">
        <color auto="1"/>
      </bottom>
      <diagonal/>
    </border>
    <border>
      <left style="double">
        <color indexed="8"/>
      </left>
      <right style="double">
        <color indexed="8"/>
      </right>
      <top/>
      <bottom style="double">
        <color auto="1"/>
      </bottom>
      <diagonal/>
    </border>
    <border>
      <left style="double">
        <color indexed="8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indexed="64"/>
      </right>
      <top style="double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 style="thin">
        <color indexed="64"/>
      </bottom>
      <diagonal/>
    </border>
    <border>
      <left style="thin">
        <color indexed="64"/>
      </left>
      <right style="double">
        <color auto="1"/>
      </right>
      <top style="double">
        <color auto="1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rgb="FF80000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0">
    <xf numFmtId="0" fontId="0" fillId="0" borderId="0"/>
    <xf numFmtId="0" fontId="1" fillId="0" borderId="0"/>
    <xf numFmtId="0" fontId="1" fillId="0" borderId="0"/>
    <xf numFmtId="0" fontId="16" fillId="0" borderId="0"/>
    <xf numFmtId="0" fontId="18" fillId="0" borderId="0" applyFill="0" applyProtection="0"/>
    <xf numFmtId="0" fontId="24" fillId="0" borderId="0"/>
    <xf numFmtId="0" fontId="27" fillId="0" borderId="0"/>
    <xf numFmtId="0" fontId="1" fillId="0" borderId="0"/>
    <xf numFmtId="0" fontId="35" fillId="0" borderId="0"/>
    <xf numFmtId="0" fontId="38" fillId="0" borderId="0">
      <alignment vertical="center"/>
    </xf>
  </cellStyleXfs>
  <cellXfs count="174">
    <xf numFmtId="0" fontId="0" fillId="0" borderId="0" xfId="0"/>
    <xf numFmtId="2" fontId="3" fillId="0" borderId="0" xfId="1" applyNumberFormat="1" applyFont="1" applyAlignment="1">
      <alignment horizontal="center"/>
    </xf>
    <xf numFmtId="0" fontId="3" fillId="0" borderId="0" xfId="1" applyFont="1"/>
    <xf numFmtId="0" fontId="3" fillId="0" borderId="0" xfId="1" applyFont="1" applyAlignment="1">
      <alignment horizontal="center"/>
    </xf>
    <xf numFmtId="2" fontId="2" fillId="0" borderId="0" xfId="1" applyNumberFormat="1" applyFont="1" applyAlignment="1">
      <alignment horizontal="center"/>
    </xf>
    <xf numFmtId="14" fontId="4" fillId="0" borderId="0" xfId="1" applyNumberFormat="1" applyFont="1" applyAlignment="1">
      <alignment horizontal="center"/>
    </xf>
    <xf numFmtId="9" fontId="2" fillId="2" borderId="1" xfId="1" applyNumberFormat="1" applyFont="1" applyFill="1" applyBorder="1"/>
    <xf numFmtId="14" fontId="3" fillId="0" borderId="0" xfId="1" applyNumberFormat="1" applyFont="1" applyAlignment="1">
      <alignment horizontal="center" vertical="center" indent="2"/>
    </xf>
    <xf numFmtId="14" fontId="4" fillId="0" borderId="0" xfId="1" applyNumberFormat="1" applyFont="1" applyAlignment="1">
      <alignment horizontal="center" vertical="center"/>
    </xf>
    <xf numFmtId="14" fontId="3" fillId="0" borderId="0" xfId="1" applyNumberFormat="1" applyFont="1" applyAlignment="1">
      <alignment horizontal="center" vertical="center"/>
    </xf>
    <xf numFmtId="14" fontId="4" fillId="0" borderId="0" xfId="1" applyNumberFormat="1" applyFont="1" applyAlignment="1">
      <alignment horizontal="center" vertical="center" indent="2"/>
    </xf>
    <xf numFmtId="2" fontId="7" fillId="0" borderId="0" xfId="1" applyNumberFormat="1" applyFont="1" applyAlignment="1">
      <alignment horizontal="center"/>
    </xf>
    <xf numFmtId="0" fontId="7" fillId="0" borderId="0" xfId="1" applyFont="1"/>
    <xf numFmtId="14" fontId="8" fillId="0" borderId="0" xfId="1" applyNumberFormat="1" applyFont="1" applyAlignment="1">
      <alignment horizontal="center"/>
    </xf>
    <xf numFmtId="0" fontId="7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3" fillId="0" borderId="0" xfId="1" applyNumberFormat="1" applyFont="1" applyAlignment="1">
      <alignment horizontal="center" vertical="center"/>
    </xf>
    <xf numFmtId="9" fontId="3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 applyFont="1" applyAlignment="1">
      <alignment horizontal="center" vertical="center"/>
    </xf>
    <xf numFmtId="9" fontId="2" fillId="3" borderId="1" xfId="1" applyNumberFormat="1" applyFont="1" applyFill="1" applyBorder="1"/>
    <xf numFmtId="9" fontId="3" fillId="3" borderId="0" xfId="1" applyNumberFormat="1" applyFont="1" applyFill="1" applyAlignment="1">
      <alignment horizontal="center" vertical="center"/>
    </xf>
    <xf numFmtId="9" fontId="2" fillId="4" borderId="1" xfId="1" applyNumberFormat="1" applyFont="1" applyFill="1" applyBorder="1"/>
    <xf numFmtId="9" fontId="3" fillId="4" borderId="0" xfId="1" applyNumberFormat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9" fontId="2" fillId="5" borderId="1" xfId="1" applyNumberFormat="1" applyFont="1" applyFill="1" applyBorder="1"/>
    <xf numFmtId="9" fontId="3" fillId="5" borderId="0" xfId="1" applyNumberFormat="1" applyFont="1" applyFill="1" applyAlignment="1">
      <alignment horizontal="center" vertical="center"/>
    </xf>
    <xf numFmtId="0" fontId="3" fillId="5" borderId="0" xfId="1" applyFont="1" applyFill="1" applyAlignment="1">
      <alignment horizontal="center" vertical="center"/>
    </xf>
    <xf numFmtId="9" fontId="2" fillId="6" borderId="1" xfId="1" applyNumberFormat="1" applyFont="1" applyFill="1" applyBorder="1"/>
    <xf numFmtId="9" fontId="3" fillId="6" borderId="0" xfId="1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10" fillId="0" borderId="0" xfId="1" applyNumberFormat="1" applyFont="1" applyAlignment="1">
      <alignment horizontal="center"/>
    </xf>
    <xf numFmtId="2" fontId="9" fillId="0" borderId="0" xfId="1" applyNumberFormat="1" applyFont="1" applyAlignment="1">
      <alignment horizontal="center"/>
    </xf>
    <xf numFmtId="0" fontId="12" fillId="0" borderId="0" xfId="2" applyFont="1" applyAlignment="1">
      <alignment horizontal="left" vertical="center" wrapText="1" indent="1"/>
    </xf>
    <xf numFmtId="0" fontId="13" fillId="0" borderId="0" xfId="2" applyFont="1" applyAlignment="1">
      <alignment horizontal="left" vertical="center" wrapText="1" indent="1"/>
    </xf>
    <xf numFmtId="164" fontId="11" fillId="0" borderId="0" xfId="1" applyNumberFormat="1" applyFont="1" applyAlignment="1">
      <alignment horizontal="center"/>
    </xf>
    <xf numFmtId="2" fontId="10" fillId="0" borderId="1" xfId="1" applyNumberFormat="1" applyFont="1" applyBorder="1" applyAlignment="1">
      <alignment horizontal="center"/>
    </xf>
    <xf numFmtId="0" fontId="5" fillId="0" borderId="2" xfId="2" applyFont="1" applyBorder="1" applyAlignment="1">
      <alignment horizontal="left" vertical="center" indent="1"/>
    </xf>
    <xf numFmtId="14" fontId="4" fillId="0" borderId="2" xfId="1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 vertical="center"/>
    </xf>
    <xf numFmtId="2" fontId="3" fillId="0" borderId="2" xfId="1" applyNumberFormat="1" applyFont="1" applyBorder="1" applyAlignment="1">
      <alignment horizontal="center" vertical="center"/>
    </xf>
    <xf numFmtId="2" fontId="3" fillId="0" borderId="2" xfId="1" applyNumberFormat="1" applyFont="1" applyBorder="1" applyAlignment="1">
      <alignment horizontal="center"/>
    </xf>
    <xf numFmtId="14" fontId="8" fillId="0" borderId="2" xfId="1" applyNumberFormat="1" applyFont="1" applyBorder="1" applyAlignment="1">
      <alignment horizontal="center"/>
    </xf>
    <xf numFmtId="14" fontId="8" fillId="0" borderId="3" xfId="1" applyNumberFormat="1" applyFont="1" applyBorder="1" applyAlignment="1">
      <alignment horizontal="center"/>
    </xf>
    <xf numFmtId="2" fontId="10" fillId="7" borderId="1" xfId="1" applyNumberFormat="1" applyFont="1" applyFill="1" applyBorder="1" applyAlignment="1">
      <alignment horizontal="center"/>
    </xf>
    <xf numFmtId="0" fontId="5" fillId="7" borderId="2" xfId="2" applyFont="1" applyFill="1" applyBorder="1" applyAlignment="1">
      <alignment horizontal="left" vertical="center" indent="1"/>
    </xf>
    <xf numFmtId="14" fontId="4" fillId="7" borderId="2" xfId="1" applyNumberFormat="1" applyFont="1" applyFill="1" applyBorder="1" applyAlignment="1">
      <alignment horizontal="center"/>
    </xf>
    <xf numFmtId="2" fontId="7" fillId="7" borderId="2" xfId="0" applyNumberFormat="1" applyFont="1" applyFill="1" applyBorder="1" applyAlignment="1">
      <alignment horizontal="center" vertical="center"/>
    </xf>
    <xf numFmtId="2" fontId="3" fillId="7" borderId="2" xfId="1" applyNumberFormat="1" applyFont="1" applyFill="1" applyBorder="1" applyAlignment="1">
      <alignment horizontal="center" vertical="center"/>
    </xf>
    <xf numFmtId="2" fontId="3" fillId="7" borderId="2" xfId="1" applyNumberFormat="1" applyFont="1" applyFill="1" applyBorder="1" applyAlignment="1">
      <alignment horizontal="center"/>
    </xf>
    <xf numFmtId="14" fontId="8" fillId="7" borderId="2" xfId="1" applyNumberFormat="1" applyFont="1" applyFill="1" applyBorder="1" applyAlignment="1">
      <alignment horizontal="center"/>
    </xf>
    <xf numFmtId="14" fontId="8" fillId="7" borderId="3" xfId="1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left" vertical="center" wrapText="1" indent="2"/>
    </xf>
    <xf numFmtId="0" fontId="6" fillId="7" borderId="2" xfId="0" applyFont="1" applyFill="1" applyBorder="1" applyAlignment="1">
      <alignment horizontal="left" vertical="center" wrapText="1" indent="2"/>
    </xf>
    <xf numFmtId="14" fontId="4" fillId="7" borderId="2" xfId="1" applyNumberFormat="1" applyFont="1" applyFill="1" applyBorder="1" applyAlignment="1">
      <alignment horizontal="center" vertical="center"/>
    </xf>
    <xf numFmtId="14" fontId="4" fillId="7" borderId="2" xfId="1" applyNumberFormat="1" applyFont="1" applyFill="1" applyBorder="1" applyAlignment="1">
      <alignment horizontal="center" vertical="center" indent="2"/>
    </xf>
    <xf numFmtId="14" fontId="3" fillId="0" borderId="2" xfId="1" applyNumberFormat="1" applyFont="1" applyBorder="1" applyAlignment="1">
      <alignment horizontal="center" vertical="center"/>
    </xf>
    <xf numFmtId="14" fontId="3" fillId="0" borderId="2" xfId="1" applyNumberFormat="1" applyFont="1" applyBorder="1" applyAlignment="1">
      <alignment horizontal="center" vertical="center" indent="2"/>
    </xf>
    <xf numFmtId="14" fontId="3" fillId="7" borderId="2" xfId="1" applyNumberFormat="1" applyFont="1" applyFill="1" applyBorder="1" applyAlignment="1">
      <alignment horizontal="center" vertical="center"/>
    </xf>
    <xf numFmtId="14" fontId="3" fillId="7" borderId="2" xfId="1" applyNumberFormat="1" applyFont="1" applyFill="1" applyBorder="1" applyAlignment="1">
      <alignment horizontal="center" vertical="center" indent="2"/>
    </xf>
    <xf numFmtId="0" fontId="4" fillId="7" borderId="2" xfId="1" applyFont="1" applyFill="1" applyBorder="1" applyAlignment="1">
      <alignment horizontal="left" wrapText="1" indent="2"/>
    </xf>
    <xf numFmtId="0" fontId="4" fillId="0" borderId="2" xfId="1" applyFont="1" applyBorder="1" applyAlignment="1">
      <alignment horizontal="left" wrapText="1" indent="2"/>
    </xf>
    <xf numFmtId="2" fontId="3" fillId="0" borderId="0" xfId="0" applyNumberFormat="1" applyFont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4" fillId="0" borderId="0" xfId="2" applyFont="1" applyAlignment="1">
      <alignment horizontal="left" vertical="center" wrapText="1" indent="1"/>
    </xf>
    <xf numFmtId="0" fontId="15" fillId="0" borderId="0" xfId="2" applyFont="1" applyAlignment="1">
      <alignment horizontal="left" vertical="center" wrapText="1" indent="1"/>
    </xf>
    <xf numFmtId="0" fontId="15" fillId="7" borderId="2" xfId="2" applyFont="1" applyFill="1" applyBorder="1" applyAlignment="1">
      <alignment horizontal="left" vertical="center" wrapText="1" indent="1"/>
    </xf>
    <xf numFmtId="0" fontId="3" fillId="0" borderId="0" xfId="1" applyFont="1" applyAlignment="1">
      <alignment horizontal="left" wrapText="1" indent="2"/>
    </xf>
    <xf numFmtId="16" fontId="7" fillId="0" borderId="0" xfId="0" applyNumberFormat="1" applyFont="1" applyAlignment="1">
      <alignment horizontal="center"/>
    </xf>
    <xf numFmtId="16" fontId="7" fillId="0" borderId="0" xfId="0" applyNumberFormat="1" applyFont="1" applyAlignment="1">
      <alignment horizontal="left"/>
    </xf>
    <xf numFmtId="0" fontId="15" fillId="0" borderId="2" xfId="2" applyFont="1" applyBorder="1" applyAlignment="1">
      <alignment horizontal="left" vertical="center" wrapText="1" indent="1"/>
    </xf>
    <xf numFmtId="16" fontId="7" fillId="0" borderId="0" xfId="1" applyNumberFormat="1" applyFont="1" applyAlignment="1">
      <alignment horizontal="center"/>
    </xf>
    <xf numFmtId="16" fontId="7" fillId="0" borderId="0" xfId="1" applyNumberFormat="1" applyFont="1" applyAlignment="1">
      <alignment horizontal="left"/>
    </xf>
    <xf numFmtId="0" fontId="19" fillId="9" borderId="0" xfId="4" applyFont="1" applyFill="1" applyAlignment="1">
      <alignment vertical="center"/>
    </xf>
    <xf numFmtId="0" fontId="20" fillId="9" borderId="0" xfId="4" applyFont="1" applyFill="1" applyAlignment="1">
      <alignment vertical="center"/>
    </xf>
    <xf numFmtId="0" fontId="18" fillId="0" borderId="0" xfId="4"/>
    <xf numFmtId="0" fontId="22" fillId="9" borderId="0" xfId="3" applyFont="1" applyFill="1" applyAlignment="1">
      <alignment horizontal="center" vertical="center"/>
    </xf>
    <xf numFmtId="0" fontId="23" fillId="9" borderId="0" xfId="3" applyFont="1" applyFill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5" applyAlignment="1">
      <alignment horizontal="center" vertical="center"/>
    </xf>
    <xf numFmtId="0" fontId="29" fillId="0" borderId="0" xfId="3" applyFont="1" applyAlignment="1">
      <alignment horizontal="center" vertical="center" wrapText="1"/>
    </xf>
    <xf numFmtId="0" fontId="30" fillId="0" borderId="0" xfId="4" applyFont="1" applyFill="1" applyAlignment="1">
      <alignment vertical="center"/>
    </xf>
    <xf numFmtId="0" fontId="32" fillId="0" borderId="0" xfId="4" applyFont="1"/>
    <xf numFmtId="0" fontId="30" fillId="0" borderId="0" xfId="4" applyFont="1" applyFill="1" applyAlignment="1">
      <alignment horizontal="center" vertical="center"/>
    </xf>
    <xf numFmtId="0" fontId="28" fillId="0" borderId="0" xfId="3" applyFont="1" applyAlignment="1">
      <alignment horizontal="left" vertical="center"/>
    </xf>
    <xf numFmtId="0" fontId="28" fillId="0" borderId="0" xfId="3" applyFont="1" applyAlignment="1">
      <alignment vertical="center"/>
    </xf>
    <xf numFmtId="0" fontId="28" fillId="0" borderId="0" xfId="3" applyFont="1" applyAlignment="1">
      <alignment horizontal="center" vertical="center"/>
    </xf>
    <xf numFmtId="0" fontId="28" fillId="0" borderId="0" xfId="5" applyFont="1" applyAlignment="1">
      <alignment vertical="center"/>
    </xf>
    <xf numFmtId="0" fontId="34" fillId="0" borderId="0" xfId="7" applyFont="1" applyAlignment="1">
      <alignment horizontal="left" vertical="center"/>
    </xf>
    <xf numFmtId="0" fontId="1" fillId="0" borderId="0" xfId="7" applyAlignment="1">
      <alignment vertical="center"/>
    </xf>
    <xf numFmtId="0" fontId="1" fillId="0" borderId="0" xfId="7" applyAlignment="1">
      <alignment horizontal="center" vertical="center"/>
    </xf>
    <xf numFmtId="0" fontId="1" fillId="0" borderId="0" xfId="7"/>
    <xf numFmtId="0" fontId="40" fillId="2" borderId="23" xfId="8" applyFont="1" applyFill="1" applyBorder="1" applyAlignment="1">
      <alignment horizontal="center" vertical="center"/>
    </xf>
    <xf numFmtId="0" fontId="42" fillId="18" borderId="23" xfId="7" applyFont="1" applyFill="1" applyBorder="1" applyAlignment="1">
      <alignment horizontal="center" vertical="center"/>
    </xf>
    <xf numFmtId="0" fontId="37" fillId="0" borderId="23" xfId="7" applyFont="1" applyBorder="1" applyAlignment="1">
      <alignment horizontal="center" vertical="center"/>
    </xf>
    <xf numFmtId="0" fontId="43" fillId="0" borderId="23" xfId="7" applyFont="1" applyBorder="1" applyAlignment="1">
      <alignment horizontal="left" vertical="center" wrapText="1"/>
    </xf>
    <xf numFmtId="0" fontId="1" fillId="0" borderId="23" xfId="7" applyBorder="1"/>
    <xf numFmtId="0" fontId="45" fillId="0" borderId="0" xfId="0" applyFont="1" applyAlignment="1">
      <alignment horizontal="left" vertical="center" wrapText="1" indent="2"/>
    </xf>
    <xf numFmtId="0" fontId="45" fillId="17" borderId="0" xfId="0" applyFont="1" applyFill="1" applyAlignment="1">
      <alignment vertical="center" wrapText="1"/>
    </xf>
    <xf numFmtId="0" fontId="43" fillId="0" borderId="0" xfId="7" quotePrefix="1" applyFont="1" applyAlignment="1">
      <alignment horizontal="center" vertical="center" wrapText="1"/>
    </xf>
    <xf numFmtId="0" fontId="37" fillId="0" borderId="0" xfId="7" applyFont="1" applyAlignment="1">
      <alignment horizontal="left" vertical="center"/>
    </xf>
    <xf numFmtId="0" fontId="37" fillId="0" borderId="0" xfId="7" applyFont="1" applyAlignment="1">
      <alignment vertical="center"/>
    </xf>
    <xf numFmtId="0" fontId="46" fillId="0" borderId="0" xfId="7" applyFont="1"/>
    <xf numFmtId="0" fontId="40" fillId="2" borderId="0" xfId="7" applyFont="1" applyFill="1" applyAlignment="1">
      <alignment horizontal="center" vertical="center"/>
    </xf>
    <xf numFmtId="0" fontId="1" fillId="0" borderId="35" xfId="7" applyBorder="1" applyAlignment="1">
      <alignment horizontal="center" vertical="center"/>
    </xf>
    <xf numFmtId="0" fontId="1" fillId="0" borderId="33" xfId="7" applyBorder="1" applyAlignment="1">
      <alignment horizontal="center" vertical="center"/>
    </xf>
    <xf numFmtId="0" fontId="1" fillId="0" borderId="0" xfId="7" applyAlignment="1">
      <alignment horizontal="left" vertical="center"/>
    </xf>
    <xf numFmtId="0" fontId="39" fillId="16" borderId="36" xfId="9" applyFont="1" applyFill="1" applyBorder="1" applyAlignment="1">
      <alignment horizontal="left" vertical="center"/>
    </xf>
    <xf numFmtId="0" fontId="41" fillId="0" borderId="36" xfId="0" applyFont="1" applyBorder="1" applyAlignment="1">
      <alignment horizontal="center" wrapText="1"/>
    </xf>
    <xf numFmtId="0" fontId="36" fillId="16" borderId="36" xfId="9" applyFont="1" applyFill="1" applyBorder="1" applyAlignment="1">
      <alignment horizontal="left" vertical="center"/>
    </xf>
    <xf numFmtId="0" fontId="44" fillId="0" borderId="36" xfId="0" applyFont="1" applyBorder="1" applyAlignment="1">
      <alignment horizontal="center" wrapText="1"/>
    </xf>
    <xf numFmtId="0" fontId="16" fillId="0" borderId="36" xfId="0" applyFont="1" applyBorder="1" applyAlignment="1">
      <alignment wrapText="1"/>
    </xf>
    <xf numFmtId="0" fontId="16" fillId="17" borderId="36" xfId="0" applyFont="1" applyFill="1" applyBorder="1" applyAlignment="1">
      <alignment wrapText="1"/>
    </xf>
    <xf numFmtId="0" fontId="41" fillId="0" borderId="36" xfId="0" applyFont="1" applyBorder="1" applyAlignment="1">
      <alignment wrapText="1"/>
    </xf>
    <xf numFmtId="0" fontId="41" fillId="17" borderId="36" xfId="0" applyFont="1" applyFill="1" applyBorder="1" applyAlignment="1">
      <alignment wrapText="1"/>
    </xf>
    <xf numFmtId="0" fontId="44" fillId="0" borderId="36" xfId="0" applyFont="1" applyBorder="1" applyAlignment="1">
      <alignment vertical="center" wrapText="1"/>
    </xf>
    <xf numFmtId="0" fontId="44" fillId="0" borderId="36" xfId="0" applyFont="1" applyBorder="1" applyAlignment="1">
      <alignment wrapText="1"/>
    </xf>
    <xf numFmtId="0" fontId="44" fillId="17" borderId="36" xfId="0" applyFont="1" applyFill="1" applyBorder="1" applyAlignment="1">
      <alignment wrapText="1"/>
    </xf>
    <xf numFmtId="0" fontId="1" fillId="0" borderId="36" xfId="7" applyBorder="1" applyAlignment="1">
      <alignment horizontal="left" vertical="center"/>
    </xf>
    <xf numFmtId="0" fontId="8" fillId="0" borderId="0" xfId="0" applyFont="1"/>
    <xf numFmtId="0" fontId="28" fillId="0" borderId="25" xfId="6" applyFont="1" applyBorder="1" applyAlignment="1">
      <alignment horizontal="right" vertical="center"/>
    </xf>
    <xf numFmtId="0" fontId="28" fillId="0" borderId="26" xfId="6" applyFont="1" applyBorder="1" applyAlignment="1">
      <alignment horizontal="right" vertical="center"/>
    </xf>
    <xf numFmtId="14" fontId="28" fillId="9" borderId="26" xfId="6" applyNumberFormat="1" applyFont="1" applyFill="1" applyBorder="1" applyAlignment="1">
      <alignment horizontal="left" vertical="center"/>
    </xf>
    <xf numFmtId="14" fontId="28" fillId="9" borderId="27" xfId="6" applyNumberFormat="1" applyFont="1" applyFill="1" applyBorder="1" applyAlignment="1">
      <alignment horizontal="left" vertical="center"/>
    </xf>
    <xf numFmtId="0" fontId="28" fillId="0" borderId="19" xfId="6" applyFont="1" applyBorder="1" applyAlignment="1">
      <alignment horizontal="right" vertical="center"/>
    </xf>
    <xf numFmtId="0" fontId="28" fillId="0" borderId="20" xfId="6" applyFont="1" applyBorder="1" applyAlignment="1">
      <alignment horizontal="right" vertical="center"/>
    </xf>
    <xf numFmtId="2" fontId="28" fillId="0" borderId="20" xfId="6" applyNumberFormat="1" applyFont="1" applyBorder="1" applyAlignment="1">
      <alignment horizontal="left" vertical="center"/>
    </xf>
    <xf numFmtId="2" fontId="28" fillId="0" borderId="21" xfId="6" applyNumberFormat="1" applyFont="1" applyBorder="1" applyAlignment="1">
      <alignment horizontal="left" vertical="center"/>
    </xf>
    <xf numFmtId="0" fontId="28" fillId="0" borderId="22" xfId="6" applyFont="1" applyBorder="1" applyAlignment="1">
      <alignment horizontal="right" vertical="center"/>
    </xf>
    <xf numFmtId="0" fontId="28" fillId="0" borderId="23" xfId="6" applyFont="1" applyBorder="1" applyAlignment="1">
      <alignment horizontal="right" vertical="center"/>
    </xf>
    <xf numFmtId="14" fontId="28" fillId="9" borderId="23" xfId="6" applyNumberFormat="1" applyFont="1" applyFill="1" applyBorder="1" applyAlignment="1">
      <alignment horizontal="left" vertical="center"/>
    </xf>
    <xf numFmtId="14" fontId="28" fillId="9" borderId="24" xfId="6" applyNumberFormat="1" applyFont="1" applyFill="1" applyBorder="1" applyAlignment="1">
      <alignment horizontal="left" vertical="center"/>
    </xf>
    <xf numFmtId="0" fontId="17" fillId="8" borderId="0" xfId="3" applyFont="1" applyFill="1" applyAlignment="1">
      <alignment horizontal="center" vertical="center" wrapText="1"/>
    </xf>
    <xf numFmtId="0" fontId="21" fillId="10" borderId="0" xfId="4" applyFont="1" applyFill="1" applyAlignment="1">
      <alignment horizontal="center" vertical="center"/>
    </xf>
    <xf numFmtId="0" fontId="25" fillId="0" borderId="4" xfId="5" applyFont="1" applyBorder="1" applyAlignment="1">
      <alignment horizontal="center" vertical="center"/>
    </xf>
    <xf numFmtId="0" fontId="25" fillId="0" borderId="5" xfId="5" applyFont="1" applyBorder="1" applyAlignment="1">
      <alignment horizontal="center" vertical="center"/>
    </xf>
    <xf numFmtId="0" fontId="25" fillId="0" borderId="6" xfId="5" applyFont="1" applyBorder="1" applyAlignment="1">
      <alignment horizontal="center" vertical="center"/>
    </xf>
    <xf numFmtId="0" fontId="25" fillId="0" borderId="7" xfId="5" applyFont="1" applyBorder="1" applyAlignment="1">
      <alignment horizontal="center" vertical="center"/>
    </xf>
    <xf numFmtId="0" fontId="25" fillId="0" borderId="8" xfId="5" applyFont="1" applyBorder="1" applyAlignment="1">
      <alignment horizontal="center" vertical="center"/>
    </xf>
    <xf numFmtId="0" fontId="25" fillId="0" borderId="9" xfId="5" applyFont="1" applyBorder="1" applyAlignment="1">
      <alignment horizontal="center" vertical="center"/>
    </xf>
    <xf numFmtId="0" fontId="25" fillId="0" borderId="10" xfId="5" applyFont="1" applyBorder="1" applyAlignment="1">
      <alignment horizontal="center" vertical="center"/>
    </xf>
    <xf numFmtId="0" fontId="25" fillId="0" borderId="11" xfId="5" applyFont="1" applyBorder="1" applyAlignment="1">
      <alignment horizontal="center" vertical="center"/>
    </xf>
    <xf numFmtId="0" fontId="25" fillId="0" borderId="12" xfId="5" applyFont="1" applyBorder="1" applyAlignment="1">
      <alignment horizontal="center" vertical="center"/>
    </xf>
    <xf numFmtId="0" fontId="26" fillId="11" borderId="13" xfId="5" applyFont="1" applyFill="1" applyBorder="1" applyAlignment="1">
      <alignment horizontal="center" vertical="center"/>
    </xf>
    <xf numFmtId="0" fontId="26" fillId="11" borderId="14" xfId="5" applyFont="1" applyFill="1" applyBorder="1" applyAlignment="1">
      <alignment horizontal="center" vertical="center"/>
    </xf>
    <xf numFmtId="0" fontId="26" fillId="11" borderId="15" xfId="5" applyFont="1" applyFill="1" applyBorder="1" applyAlignment="1">
      <alignment horizontal="center" vertical="center"/>
    </xf>
    <xf numFmtId="0" fontId="26" fillId="11" borderId="16" xfId="5" applyFont="1" applyFill="1" applyBorder="1" applyAlignment="1">
      <alignment horizontal="center" vertical="center"/>
    </xf>
    <xf numFmtId="0" fontId="26" fillId="11" borderId="17" xfId="5" applyFont="1" applyFill="1" applyBorder="1" applyAlignment="1">
      <alignment horizontal="center" vertical="center"/>
    </xf>
    <xf numFmtId="0" fontId="26" fillId="11" borderId="18" xfId="5" applyFont="1" applyFill="1" applyBorder="1" applyAlignment="1">
      <alignment horizontal="center" vertical="center"/>
    </xf>
    <xf numFmtId="0" fontId="32" fillId="14" borderId="23" xfId="5" applyFont="1" applyFill="1" applyBorder="1" applyAlignment="1">
      <alignment horizontal="left" vertical="center" wrapText="1"/>
    </xf>
    <xf numFmtId="14" fontId="32" fillId="14" borderId="23" xfId="5" applyNumberFormat="1" applyFont="1" applyFill="1" applyBorder="1" applyAlignment="1">
      <alignment horizontal="center" vertical="center"/>
    </xf>
    <xf numFmtId="2" fontId="32" fillId="14" borderId="23" xfId="5" applyNumberFormat="1" applyFont="1" applyFill="1" applyBorder="1" applyAlignment="1">
      <alignment horizontal="center" vertical="center"/>
    </xf>
    <xf numFmtId="14" fontId="32" fillId="14" borderId="31" xfId="5" applyNumberFormat="1" applyFont="1" applyFill="1" applyBorder="1" applyAlignment="1">
      <alignment horizontal="center" vertical="center"/>
    </xf>
    <xf numFmtId="14" fontId="32" fillId="14" borderId="32" xfId="5" applyNumberFormat="1" applyFont="1" applyFill="1" applyBorder="1" applyAlignment="1">
      <alignment horizontal="center" vertical="center"/>
    </xf>
    <xf numFmtId="14" fontId="32" fillId="14" borderId="33" xfId="5" applyNumberFormat="1" applyFont="1" applyFill="1" applyBorder="1" applyAlignment="1">
      <alignment horizontal="center" vertical="center"/>
    </xf>
    <xf numFmtId="0" fontId="33" fillId="13" borderId="29" xfId="5" applyFont="1" applyFill="1" applyBorder="1" applyAlignment="1">
      <alignment horizontal="center" vertical="center" wrapText="1"/>
    </xf>
    <xf numFmtId="0" fontId="33" fillId="13" borderId="30" xfId="5" applyFont="1" applyFill="1" applyBorder="1" applyAlignment="1">
      <alignment horizontal="center" vertical="center" wrapText="1"/>
    </xf>
    <xf numFmtId="0" fontId="29" fillId="0" borderId="0" xfId="3" applyFont="1" applyAlignment="1">
      <alignment horizontal="center" vertical="center" wrapText="1"/>
    </xf>
    <xf numFmtId="0" fontId="31" fillId="12" borderId="28" xfId="4" applyFont="1" applyFill="1" applyBorder="1" applyAlignment="1">
      <alignment horizontal="center" vertical="center"/>
    </xf>
    <xf numFmtId="0" fontId="31" fillId="12" borderId="0" xfId="4" applyFont="1" applyFill="1" applyAlignment="1">
      <alignment horizontal="center" vertical="center"/>
    </xf>
    <xf numFmtId="0" fontId="30" fillId="0" borderId="0" xfId="4" applyFont="1" applyFill="1" applyAlignment="1">
      <alignment horizontal="center" vertical="center"/>
    </xf>
    <xf numFmtId="0" fontId="33" fillId="13" borderId="29" xfId="5" applyFont="1" applyFill="1" applyBorder="1" applyAlignment="1">
      <alignment horizontal="center" vertical="center"/>
    </xf>
    <xf numFmtId="0" fontId="33" fillId="13" borderId="30" xfId="5" applyFont="1" applyFill="1" applyBorder="1" applyAlignment="1">
      <alignment horizontal="center" vertical="center"/>
    </xf>
    <xf numFmtId="0" fontId="36" fillId="15" borderId="37" xfId="8" applyFont="1" applyFill="1" applyBorder="1" applyAlignment="1">
      <alignment horizontal="center" vertical="center"/>
    </xf>
    <xf numFmtId="0" fontId="36" fillId="15" borderId="40" xfId="8" applyFont="1" applyFill="1" applyBorder="1" applyAlignment="1">
      <alignment horizontal="center" vertical="center"/>
    </xf>
    <xf numFmtId="0" fontId="36" fillId="15" borderId="39" xfId="8" applyFont="1" applyFill="1" applyBorder="1" applyAlignment="1">
      <alignment horizontal="center" vertical="center"/>
    </xf>
    <xf numFmtId="0" fontId="36" fillId="15" borderId="41" xfId="8" applyFont="1" applyFill="1" applyBorder="1" applyAlignment="1">
      <alignment horizontal="center" vertical="center"/>
    </xf>
    <xf numFmtId="0" fontId="40" fillId="2" borderId="34" xfId="7" applyFont="1" applyFill="1" applyBorder="1" applyAlignment="1">
      <alignment horizontal="center" vertical="center"/>
    </xf>
    <xf numFmtId="0" fontId="36" fillId="15" borderId="37" xfId="8" applyFont="1" applyFill="1" applyBorder="1" applyAlignment="1">
      <alignment horizontal="left" vertical="center" wrapText="1"/>
    </xf>
    <xf numFmtId="0" fontId="36" fillId="15" borderId="38" xfId="8" applyFont="1" applyFill="1" applyBorder="1" applyAlignment="1">
      <alignment horizontal="left" vertical="center" wrapText="1"/>
    </xf>
    <xf numFmtId="0" fontId="36" fillId="15" borderId="37" xfId="8" applyFont="1" applyFill="1" applyBorder="1" applyAlignment="1">
      <alignment horizontal="center" vertical="center" wrapText="1"/>
    </xf>
    <xf numFmtId="0" fontId="36" fillId="15" borderId="38" xfId="8" applyFont="1" applyFill="1" applyBorder="1" applyAlignment="1">
      <alignment horizontal="center" vertical="center" wrapText="1"/>
    </xf>
    <xf numFmtId="0" fontId="47" fillId="0" borderId="0" xfId="0" applyFont="1"/>
  </cellXfs>
  <cellStyles count="10">
    <cellStyle name="Normal" xfId="0" builtinId="0"/>
    <cellStyle name="Normal 10 2 3" xfId="7" xr:uid="{B6A59048-946D-402F-A3E1-F0156F1BDA30}"/>
    <cellStyle name="Normal 16 2" xfId="2" xr:uid="{C3E3BB6E-257E-486D-B0FB-4000ADE616C6}"/>
    <cellStyle name="Normal 2 2 2" xfId="3" xr:uid="{4FD39206-E2C4-49E2-90D0-FE40D6882B7D}"/>
    <cellStyle name="Normal 2 2 2 2" xfId="5" xr:uid="{F430DC1E-506F-4C5D-BD43-F02A1D6B5D78}"/>
    <cellStyle name="Normal 2 4 2" xfId="9" xr:uid="{A8E58232-98FD-499F-8311-BA2DF4585138}"/>
    <cellStyle name="Normal 23" xfId="1" xr:uid="{B451216C-B5BC-408C-AD18-EB2CB9763B5A}"/>
    <cellStyle name="Normal 3 3 3" xfId="4" xr:uid="{E162A2FB-8F82-4545-B10F-F66279623CE9}"/>
    <cellStyle name="Normal 5 2" xfId="8" xr:uid="{98407330-FBF8-40EF-8103-2E71E3D65342}"/>
    <cellStyle name="標準_表紙目次 1" xfId="6" xr:uid="{B9168508-9219-4A8B-8372-B3D59941621F}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d\-mmm"/>
      <alignment horizontal="left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d\-mmm"/>
      <alignment horizontal="center" vertical="bottom" textRotation="0" wrapText="0" relativeIndent="0" justifyLastLine="0" shrinkToFit="0" readingOrder="0"/>
    </dxf>
    <dxf>
      <font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187324</xdr:colOff>
      <xdr:row>1</xdr:row>
      <xdr:rowOff>82551</xdr:rowOff>
    </xdr:from>
    <xdr:to>
      <xdr:col>29</xdr:col>
      <xdr:colOff>5091</xdr:colOff>
      <xdr:row>6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D2729-4E09-4C60-87BF-D41A9FB9B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4824" y="244476"/>
          <a:ext cx="2484767" cy="841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</xdr:colOff>
      <xdr:row>0</xdr:row>
      <xdr:rowOff>0</xdr:rowOff>
    </xdr:from>
    <xdr:to>
      <xdr:col>9</xdr:col>
      <xdr:colOff>180975</xdr:colOff>
      <xdr:row>4</xdr:row>
      <xdr:rowOff>4057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7AADA3-E8B9-430D-A899-4F2C99055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" y="0"/>
          <a:ext cx="1892300" cy="6517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ie Abigail Ralota" id="{91F4B8BC-3A15-4568-B97D-742D6369588A}" userId="S::mralota@asi-dev5.com::e2809302-95d7-41ef-b51e-076d181af68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03A7E2-95D7-4EFD-B434-59B37452238A}" name="Table13534" displayName="Table13534" ref="F1:P53" totalsRowShown="0" headerRowDxfId="12" dataDxfId="11">
  <autoFilter ref="F1:P53" xr:uid="{DB03A7E2-95D7-4EFD-B434-59B37452238A}"/>
  <tableColumns count="11">
    <tableColumn id="2" xr3:uid="{BC6165A3-37EA-4309-A0ED-AD98DF0C692D}" name="WBS" dataDxfId="10"/>
    <tableColumn id="3" xr3:uid="{9C3C347E-0D51-4AF3-91E5-ABFC7DD55EBA}" name="Task" dataDxfId="9"/>
    <tableColumn id="4" xr3:uid="{1CEA3548-09CB-409A-9C4D-78D7649731E5}" name="Baseline Start" dataDxfId="8"/>
    <tableColumn id="5" xr3:uid="{8035BCE0-A73C-4025-AE16-BDD6B917C904}" name="Baseline End" dataDxfId="7"/>
    <tableColumn id="6" xr3:uid="{D04CF134-394C-49B8-B4D2-78EA31E242E8}" name="Man Hours" dataDxfId="6"/>
    <tableColumn id="7" xr3:uid="{8097C10F-A4BC-4C13-9AA9-53A9536F1243}" name="Actual Hours" dataDxfId="5" dataCellStyle="Normal 23"/>
    <tableColumn id="8" xr3:uid="{AC23F627-CCD0-4A0F-B69E-4997351904FA}" name="Days" dataDxfId="4" dataCellStyle="Normal 23"/>
    <tableColumn id="9" xr3:uid="{7C63454B-82D5-4E10-BF30-7F86DB5F970D}" name="Predecessors" dataDxfId="3" dataCellStyle="Normal 23"/>
    <tableColumn id="10" xr3:uid="{8A89E281-C7A2-4628-BD9D-ED69696D2D7A}" name="Actual Days Data" dataDxfId="2" dataCellStyle="Normal 23">
      <calculatedColumnFormula>I2-H2+1</calculatedColumnFormula>
    </tableColumn>
    <tableColumn id="1" xr3:uid="{ADD9DBEA-783A-4356-8EA9-064A902CBDF1}" name="Actual Start" dataDxfId="1" dataCellStyle="Normal 23"/>
    <tableColumn id="11" xr3:uid="{D80D44AF-B2C3-4719-A948-FF26B96BED58}" name="Actual End" dataDxfId="0" dataCellStyle="Normal 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5-11-12T13:04:46.19" personId="{91F4B8BC-3A15-4568-B97D-742D6369588A}" id="{D26718FB-3BDC-4886-B11E-8292E6062C2B}">
    <text>These columns can be removed</text>
  </threadedComment>
  <threadedComment ref="O5" dT="2025-11-12T13:05:09.44" personId="{91F4B8BC-3A15-4568-B97D-742D6369588A}" id="{83D04E21-C2BB-4CD3-8100-2718825D2DBC}">
    <text>Complete Actual Start and Actual End  columns</text>
  </threadedComment>
  <threadedComment ref="A11" dT="2025-11-12T13:03:47.07" personId="{91F4B8BC-3A15-4568-B97D-742D6369588A}" id="{5DB799F3-1884-4909-B20A-B44C4B31022C}">
    <text>Other sheets are missing? 
Cover Page
Revision History
Function List</text>
  </threadedComment>
  <threadedComment ref="C11" dT="2025-11-12T13:04:23.75" personId="{91F4B8BC-3A15-4568-B97D-742D6369588A}" id="{18FDFBD9-F267-43E2-971C-46BD113AFBAC}">
    <text>Complete assignment of Tasks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8C69F-BE4C-46E3-9EBF-A5C745044626}">
  <dimension ref="A1:AT30"/>
  <sheetViews>
    <sheetView showGridLines="0" view="pageBreakPreview" zoomScaleNormal="100" zoomScaleSheetLayoutView="100" workbookViewId="0">
      <selection activeCell="U29" sqref="U29:AM29"/>
    </sheetView>
  </sheetViews>
  <sheetFormatPr defaultColWidth="10.140625" defaultRowHeight="12.75"/>
  <cols>
    <col min="1" max="46" width="2.85546875" style="80" customWidth="1"/>
    <col min="47" max="250" width="2.85546875" style="75" customWidth="1"/>
    <col min="251" max="16384" width="10.140625" style="75"/>
  </cols>
  <sheetData>
    <row r="1" spans="1:46" ht="12.75" customHeight="1">
      <c r="A1" s="133"/>
      <c r="B1" s="133"/>
      <c r="C1" s="133"/>
      <c r="D1" s="13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4"/>
    </row>
    <row r="2" spans="1:46" ht="12.75" customHeight="1">
      <c r="A2" s="133"/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4"/>
    </row>
    <row r="3" spans="1:46" ht="12.75" customHeight="1">
      <c r="A3" s="134"/>
      <c r="B3" s="134"/>
      <c r="C3" s="134"/>
      <c r="D3" s="134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4"/>
    </row>
    <row r="4" spans="1:46" ht="12.75" customHeight="1">
      <c r="A4" s="134"/>
      <c r="B4" s="134"/>
      <c r="C4" s="134"/>
      <c r="D4" s="134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4"/>
    </row>
    <row r="5" spans="1:46">
      <c r="A5" s="76"/>
      <c r="B5" s="76"/>
      <c r="C5" s="76"/>
      <c r="D5" s="76"/>
      <c r="E5" s="76"/>
      <c r="F5" s="76"/>
      <c r="G5" s="76"/>
      <c r="H5" s="76"/>
      <c r="I5" s="76"/>
      <c r="J5" s="77"/>
      <c r="K5" s="77"/>
      <c r="L5" s="78"/>
      <c r="M5" s="78"/>
      <c r="N5" s="79"/>
      <c r="O5" s="79"/>
      <c r="P5" s="79"/>
      <c r="Q5" s="78"/>
      <c r="R5" s="78"/>
      <c r="S5" s="78"/>
      <c r="T5" s="79"/>
      <c r="U5" s="79"/>
      <c r="V5" s="79"/>
      <c r="W5" s="78"/>
      <c r="X5" s="78"/>
      <c r="Y5" s="78"/>
      <c r="Z5" s="79"/>
      <c r="AA5" s="79"/>
      <c r="AB5" s="79"/>
      <c r="AC5" s="78"/>
      <c r="AD5" s="78"/>
      <c r="AE5" s="78"/>
      <c r="AF5" s="79"/>
      <c r="AG5" s="79"/>
      <c r="AH5" s="78"/>
      <c r="AI5" s="78"/>
      <c r="AJ5" s="78"/>
      <c r="AK5" s="79"/>
      <c r="AL5" s="79"/>
      <c r="AM5" s="79"/>
      <c r="AN5" s="79"/>
      <c r="AO5" s="78"/>
      <c r="AP5" s="78"/>
      <c r="AQ5" s="78"/>
      <c r="AR5" s="78"/>
      <c r="AS5" s="78"/>
      <c r="AT5" s="79"/>
    </row>
    <row r="9" spans="1:46">
      <c r="H9" s="135" t="s">
        <v>0</v>
      </c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7"/>
    </row>
    <row r="10" spans="1:46">
      <c r="H10" s="138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40"/>
    </row>
    <row r="11" spans="1:46">
      <c r="H11" s="138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40"/>
    </row>
    <row r="12" spans="1:46">
      <c r="H12" s="138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40"/>
    </row>
    <row r="13" spans="1:46">
      <c r="H13" s="141" t="s">
        <v>1</v>
      </c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3"/>
    </row>
    <row r="14" spans="1:46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2"/>
      <c r="AI14" s="142"/>
      <c r="AJ14" s="142"/>
      <c r="AK14" s="142"/>
      <c r="AL14" s="142"/>
      <c r="AM14" s="143"/>
    </row>
    <row r="15" spans="1:46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3"/>
    </row>
    <row r="16" spans="1:46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3"/>
    </row>
    <row r="17" spans="8:39">
      <c r="H17" s="144" t="s">
        <v>2</v>
      </c>
      <c r="I17" s="145"/>
      <c r="J17" s="145"/>
      <c r="K17" s="145"/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6"/>
    </row>
    <row r="18" spans="8:39">
      <c r="H18" s="144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5"/>
      <c r="AG18" s="145"/>
      <c r="AH18" s="145"/>
      <c r="AI18" s="145"/>
      <c r="AJ18" s="145"/>
      <c r="AK18" s="145"/>
      <c r="AL18" s="145"/>
      <c r="AM18" s="146"/>
    </row>
    <row r="19" spans="8:39">
      <c r="H19" s="144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6"/>
    </row>
    <row r="20" spans="8:39">
      <c r="H20" s="147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48"/>
      <c r="AL20" s="148"/>
      <c r="AM20" s="149"/>
    </row>
    <row r="27" spans="8:39">
      <c r="H27" s="125" t="s">
        <v>3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7">
        <v>1.2</v>
      </c>
      <c r="V27" s="127"/>
      <c r="W27" s="127"/>
      <c r="X27" s="12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8"/>
    </row>
    <row r="28" spans="8:39">
      <c r="H28" s="129" t="s">
        <v>4</v>
      </c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1" t="s">
        <v>5</v>
      </c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2"/>
    </row>
    <row r="29" spans="8:39">
      <c r="H29" s="129" t="s">
        <v>6</v>
      </c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1" t="s">
        <v>7</v>
      </c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2"/>
    </row>
    <row r="30" spans="8:39">
      <c r="H30" s="121" t="s">
        <v>8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3" t="s">
        <v>7</v>
      </c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4"/>
    </row>
  </sheetData>
  <mergeCells count="14">
    <mergeCell ref="H17:AM20"/>
    <mergeCell ref="A1:D2"/>
    <mergeCell ref="A3:D3"/>
    <mergeCell ref="A4:D4"/>
    <mergeCell ref="H9:AM12"/>
    <mergeCell ref="H13:AM16"/>
    <mergeCell ref="H30:T30"/>
    <mergeCell ref="U30:AM30"/>
    <mergeCell ref="H27:T27"/>
    <mergeCell ref="U27:AM27"/>
    <mergeCell ref="H28:T28"/>
    <mergeCell ref="U28:AM28"/>
    <mergeCell ref="H29:T29"/>
    <mergeCell ref="U29:AM29"/>
  </mergeCells>
  <dataValidations count="1">
    <dataValidation type="list" operator="equal" sqref="B1:B30" xr:uid="{D5B0833B-3412-4CF7-9607-A47D3B5C48B4}">
      <formula1>"Normal,Abnormal"</formula1>
      <formula2>0</formula2>
    </dataValidation>
  </dataValidations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2D7-918A-4020-8F82-F2E35904DB57}">
  <dimension ref="A1:AY31"/>
  <sheetViews>
    <sheetView showGridLines="0" view="pageBreakPreview" zoomScaleNormal="100" zoomScaleSheetLayoutView="100" workbookViewId="0">
      <selection activeCell="N11" sqref="N11:AA11"/>
    </sheetView>
  </sheetViews>
  <sheetFormatPr defaultColWidth="10.140625" defaultRowHeight="12.75"/>
  <cols>
    <col min="1" max="51" width="2.85546875" style="88" customWidth="1"/>
    <col min="52" max="255" width="2.85546875" style="83" customWidth="1"/>
    <col min="256" max="16384" width="10.140625" style="83"/>
  </cols>
  <sheetData>
    <row r="1" spans="1:51" ht="12.75" customHeight="1">
      <c r="A1" s="158"/>
      <c r="B1" s="158"/>
      <c r="C1" s="158"/>
      <c r="D1" s="158"/>
      <c r="E1" s="158"/>
      <c r="F1" s="158"/>
      <c r="G1" s="81"/>
      <c r="H1" s="82" t="s">
        <v>9</v>
      </c>
      <c r="I1" s="82"/>
      <c r="J1" s="82"/>
      <c r="K1" s="159" t="s">
        <v>9</v>
      </c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</row>
    <row r="2" spans="1:51" ht="12.75" customHeight="1">
      <c r="A2" s="158"/>
      <c r="B2" s="158"/>
      <c r="C2" s="158"/>
      <c r="D2" s="158"/>
      <c r="E2" s="158"/>
      <c r="F2" s="158"/>
      <c r="G2" s="81"/>
      <c r="H2" s="82"/>
      <c r="I2" s="82"/>
      <c r="J2" s="82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</row>
    <row r="3" spans="1:51" ht="12.75" customHeight="1">
      <c r="A3" s="161"/>
      <c r="B3" s="161"/>
      <c r="C3" s="161"/>
      <c r="D3" s="161"/>
      <c r="E3" s="161"/>
      <c r="F3" s="161"/>
      <c r="G3" s="84"/>
      <c r="H3" s="82"/>
      <c r="I3" s="82"/>
      <c r="J3" s="82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</row>
    <row r="4" spans="1:51" ht="12.75" customHeight="1">
      <c r="A4" s="161"/>
      <c r="B4" s="161"/>
      <c r="C4" s="161"/>
      <c r="D4" s="161"/>
      <c r="E4" s="161"/>
      <c r="F4" s="161"/>
      <c r="G4" s="84"/>
      <c r="H4" s="82"/>
      <c r="I4" s="82"/>
      <c r="J4" s="82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</row>
    <row r="5" spans="1:51">
      <c r="A5" s="85"/>
      <c r="B5" s="85"/>
      <c r="C5" s="85"/>
      <c r="D5" s="86"/>
      <c r="E5" s="86"/>
      <c r="F5" s="86"/>
      <c r="G5" s="86"/>
      <c r="H5" s="86"/>
      <c r="I5" s="86"/>
      <c r="J5" s="86"/>
      <c r="K5" s="86"/>
      <c r="L5" s="86"/>
      <c r="M5" s="87"/>
      <c r="N5" s="86"/>
      <c r="O5" s="86"/>
      <c r="P5" s="86"/>
      <c r="Q5" s="86"/>
      <c r="R5" s="87"/>
      <c r="S5" s="86"/>
      <c r="T5" s="86"/>
      <c r="U5" s="86"/>
      <c r="V5" s="86"/>
      <c r="W5" s="86"/>
      <c r="X5" s="86"/>
      <c r="Y5" s="86"/>
      <c r="Z5" s="86"/>
      <c r="AA5" s="87"/>
      <c r="AB5" s="86"/>
      <c r="AC5" s="86"/>
      <c r="AD5" s="86"/>
      <c r="AE5" s="86"/>
      <c r="AF5" s="86"/>
      <c r="AG5" s="86"/>
      <c r="AH5" s="87"/>
      <c r="AI5" s="86"/>
      <c r="AJ5" s="86"/>
      <c r="AK5" s="86"/>
      <c r="AL5" s="86"/>
      <c r="AM5" s="86"/>
      <c r="AN5" s="86"/>
      <c r="AO5" s="87"/>
      <c r="AP5" s="87"/>
      <c r="AQ5" s="86"/>
      <c r="AR5" s="86"/>
      <c r="AS5" s="86"/>
      <c r="AT5" s="86"/>
      <c r="AU5" s="86"/>
      <c r="AV5" s="87"/>
      <c r="AW5" s="86"/>
      <c r="AX5" s="87"/>
      <c r="AY5" s="87"/>
    </row>
    <row r="6" spans="1:51">
      <c r="A6" s="156" t="s">
        <v>10</v>
      </c>
      <c r="B6" s="156"/>
      <c r="C6" s="162" t="s">
        <v>11</v>
      </c>
      <c r="D6" s="162"/>
      <c r="E6" s="162"/>
      <c r="F6" s="162"/>
      <c r="G6" s="162"/>
      <c r="H6" s="162"/>
      <c r="I6" s="162"/>
      <c r="J6" s="156" t="s">
        <v>12</v>
      </c>
      <c r="K6" s="156"/>
      <c r="L6" s="156"/>
      <c r="M6" s="156"/>
      <c r="N6" s="162" t="s">
        <v>13</v>
      </c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56" t="s">
        <v>14</v>
      </c>
      <c r="AC6" s="156"/>
      <c r="AD6" s="156"/>
      <c r="AE6" s="156"/>
      <c r="AF6" s="156"/>
      <c r="AG6" s="156"/>
      <c r="AH6" s="156"/>
      <c r="AI6" s="156" t="s">
        <v>15</v>
      </c>
      <c r="AJ6" s="156"/>
      <c r="AK6" s="156"/>
      <c r="AL6" s="156"/>
      <c r="AM6" s="156"/>
      <c r="AN6" s="156" t="s">
        <v>16</v>
      </c>
      <c r="AO6" s="156"/>
      <c r="AP6" s="156"/>
      <c r="AQ6" s="156"/>
      <c r="AR6" s="156"/>
      <c r="AS6" s="156"/>
      <c r="AT6" s="156"/>
      <c r="AU6" s="156" t="s">
        <v>17</v>
      </c>
      <c r="AV6" s="156"/>
      <c r="AW6" s="156"/>
      <c r="AX6" s="156"/>
      <c r="AY6" s="156"/>
    </row>
    <row r="7" spans="1:51" ht="33" customHeight="1">
      <c r="A7" s="157"/>
      <c r="B7" s="157"/>
      <c r="C7" s="163"/>
      <c r="D7" s="163"/>
      <c r="E7" s="163"/>
      <c r="F7" s="163"/>
      <c r="G7" s="163"/>
      <c r="H7" s="163"/>
      <c r="I7" s="163"/>
      <c r="J7" s="157"/>
      <c r="K7" s="157"/>
      <c r="L7" s="157"/>
      <c r="M7" s="157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57"/>
      <c r="AC7" s="157"/>
      <c r="AD7" s="157"/>
      <c r="AE7" s="157"/>
      <c r="AF7" s="157"/>
      <c r="AG7" s="157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57"/>
      <c r="AS7" s="157"/>
      <c r="AT7" s="157"/>
      <c r="AU7" s="157"/>
      <c r="AV7" s="157"/>
      <c r="AW7" s="157"/>
      <c r="AX7" s="157"/>
      <c r="AY7" s="157"/>
    </row>
    <row r="8" spans="1:51" ht="12.75" customHeight="1">
      <c r="A8" s="152">
        <v>1</v>
      </c>
      <c r="B8" s="152"/>
      <c r="C8" s="150" t="s">
        <v>18</v>
      </c>
      <c r="D8" s="150"/>
      <c r="E8" s="150"/>
      <c r="F8" s="150"/>
      <c r="G8" s="150"/>
      <c r="H8" s="150"/>
      <c r="I8" s="150"/>
      <c r="J8" s="151">
        <v>45892</v>
      </c>
      <c r="K8" s="151"/>
      <c r="L8" s="151"/>
      <c r="M8" s="151"/>
      <c r="N8" s="150" t="s">
        <v>19</v>
      </c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 t="s">
        <v>20</v>
      </c>
      <c r="AC8" s="150"/>
      <c r="AD8" s="150"/>
      <c r="AE8" s="150"/>
      <c r="AF8" s="150"/>
      <c r="AG8" s="150"/>
      <c r="AH8" s="150"/>
      <c r="AI8" s="151" t="s">
        <v>21</v>
      </c>
      <c r="AJ8" s="151"/>
      <c r="AK8" s="151"/>
      <c r="AL8" s="151"/>
      <c r="AM8" s="151"/>
      <c r="AN8" s="150" t="s">
        <v>20</v>
      </c>
      <c r="AO8" s="150"/>
      <c r="AP8" s="150"/>
      <c r="AQ8" s="150"/>
      <c r="AR8" s="150"/>
      <c r="AS8" s="150"/>
      <c r="AT8" s="150"/>
      <c r="AU8" s="151" t="s">
        <v>21</v>
      </c>
      <c r="AV8" s="151"/>
      <c r="AW8" s="151"/>
      <c r="AX8" s="151"/>
      <c r="AY8" s="151"/>
    </row>
    <row r="9" spans="1:51" ht="25.5" customHeight="1">
      <c r="A9" s="152">
        <v>1.1000000000000001</v>
      </c>
      <c r="B9" s="152"/>
      <c r="C9" s="150" t="s">
        <v>18</v>
      </c>
      <c r="D9" s="150"/>
      <c r="E9" s="150"/>
      <c r="F9" s="150"/>
      <c r="G9" s="150"/>
      <c r="H9" s="150"/>
      <c r="I9" s="150"/>
      <c r="J9" s="151">
        <v>45973</v>
      </c>
      <c r="K9" s="151"/>
      <c r="L9" s="151"/>
      <c r="M9" s="151"/>
      <c r="N9" s="150" t="s">
        <v>22</v>
      </c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 t="s">
        <v>20</v>
      </c>
      <c r="AC9" s="150"/>
      <c r="AD9" s="150"/>
      <c r="AE9" s="150"/>
      <c r="AF9" s="150"/>
      <c r="AG9" s="150"/>
      <c r="AH9" s="150"/>
      <c r="AI9" s="151" t="s">
        <v>21</v>
      </c>
      <c r="AJ9" s="151"/>
      <c r="AK9" s="151"/>
      <c r="AL9" s="151"/>
      <c r="AM9" s="151"/>
      <c r="AN9" s="150" t="s">
        <v>20</v>
      </c>
      <c r="AO9" s="150"/>
      <c r="AP9" s="150"/>
      <c r="AQ9" s="150"/>
      <c r="AR9" s="150"/>
      <c r="AS9" s="150"/>
      <c r="AT9" s="150"/>
      <c r="AU9" s="151" t="s">
        <v>21</v>
      </c>
      <c r="AV9" s="151"/>
      <c r="AW9" s="151"/>
      <c r="AX9" s="151"/>
      <c r="AY9" s="151"/>
    </row>
    <row r="10" spans="1:51">
      <c r="A10" s="152">
        <v>1.2</v>
      </c>
      <c r="B10" s="152"/>
      <c r="C10" s="150" t="s">
        <v>18</v>
      </c>
      <c r="D10" s="150"/>
      <c r="E10" s="150"/>
      <c r="F10" s="150"/>
      <c r="G10" s="150"/>
      <c r="H10" s="150"/>
      <c r="I10" s="150"/>
      <c r="J10" s="151">
        <v>45974</v>
      </c>
      <c r="K10" s="151"/>
      <c r="L10" s="151"/>
      <c r="M10" s="151"/>
      <c r="N10" s="150" t="s">
        <v>23</v>
      </c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 t="s">
        <v>20</v>
      </c>
      <c r="AC10" s="150"/>
      <c r="AD10" s="150"/>
      <c r="AE10" s="150"/>
      <c r="AF10" s="150"/>
      <c r="AG10" s="150"/>
      <c r="AH10" s="150"/>
      <c r="AI10" s="151" t="s">
        <v>21</v>
      </c>
      <c r="AJ10" s="151"/>
      <c r="AK10" s="151"/>
      <c r="AL10" s="151"/>
      <c r="AM10" s="151"/>
      <c r="AN10" s="150" t="s">
        <v>20</v>
      </c>
      <c r="AO10" s="150"/>
      <c r="AP10" s="150"/>
      <c r="AQ10" s="150"/>
      <c r="AR10" s="150"/>
      <c r="AS10" s="150"/>
      <c r="AT10" s="150"/>
      <c r="AU10" s="151" t="s">
        <v>21</v>
      </c>
      <c r="AV10" s="151"/>
      <c r="AW10" s="151"/>
      <c r="AX10" s="151"/>
      <c r="AY10" s="151"/>
    </row>
    <row r="11" spans="1:51">
      <c r="A11" s="152"/>
      <c r="B11" s="152"/>
      <c r="C11" s="150"/>
      <c r="D11" s="150"/>
      <c r="E11" s="150"/>
      <c r="F11" s="150"/>
      <c r="G11" s="150"/>
      <c r="H11" s="150"/>
      <c r="I11" s="150"/>
      <c r="J11" s="151"/>
      <c r="K11" s="151"/>
      <c r="L11" s="151"/>
      <c r="M11" s="151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1"/>
      <c r="AJ11" s="151"/>
      <c r="AK11" s="151"/>
      <c r="AL11" s="151"/>
      <c r="AM11" s="151"/>
      <c r="AN11" s="150"/>
      <c r="AO11" s="150"/>
      <c r="AP11" s="150"/>
      <c r="AQ11" s="150"/>
      <c r="AR11" s="150"/>
      <c r="AS11" s="150"/>
      <c r="AT11" s="150"/>
      <c r="AU11" s="151"/>
      <c r="AV11" s="151"/>
      <c r="AW11" s="151"/>
      <c r="AX11" s="151"/>
      <c r="AY11" s="151"/>
    </row>
    <row r="12" spans="1:51">
      <c r="A12" s="152"/>
      <c r="B12" s="152"/>
      <c r="C12" s="150"/>
      <c r="D12" s="150"/>
      <c r="E12" s="150"/>
      <c r="F12" s="150"/>
      <c r="G12" s="150"/>
      <c r="H12" s="150"/>
      <c r="I12" s="150"/>
      <c r="J12" s="151"/>
      <c r="K12" s="151"/>
      <c r="L12" s="151"/>
      <c r="M12" s="151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1"/>
      <c r="AJ12" s="151"/>
      <c r="AK12" s="151"/>
      <c r="AL12" s="151"/>
      <c r="AM12" s="151"/>
      <c r="AN12" s="150"/>
      <c r="AO12" s="150"/>
      <c r="AP12" s="150"/>
      <c r="AQ12" s="150"/>
      <c r="AR12" s="150"/>
      <c r="AS12" s="150"/>
      <c r="AT12" s="150"/>
      <c r="AU12" s="151"/>
      <c r="AV12" s="151"/>
      <c r="AW12" s="151"/>
      <c r="AX12" s="151"/>
      <c r="AY12" s="151"/>
    </row>
    <row r="13" spans="1:51">
      <c r="A13" s="152"/>
      <c r="B13" s="152"/>
      <c r="C13" s="150"/>
      <c r="D13" s="150"/>
      <c r="E13" s="150"/>
      <c r="F13" s="150"/>
      <c r="G13" s="150"/>
      <c r="H13" s="150"/>
      <c r="I13" s="150"/>
      <c r="J13" s="151"/>
      <c r="K13" s="151"/>
      <c r="L13" s="151"/>
      <c r="M13" s="151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  <c r="AG13" s="150"/>
      <c r="AH13" s="150"/>
      <c r="AI13" s="151"/>
      <c r="AJ13" s="151"/>
      <c r="AK13" s="151"/>
      <c r="AL13" s="151"/>
      <c r="AM13" s="151"/>
      <c r="AN13" s="150"/>
      <c r="AO13" s="150"/>
      <c r="AP13" s="150"/>
      <c r="AQ13" s="150"/>
      <c r="AR13" s="150"/>
      <c r="AS13" s="150"/>
      <c r="AT13" s="150"/>
      <c r="AU13" s="151"/>
      <c r="AV13" s="151"/>
      <c r="AW13" s="151"/>
      <c r="AX13" s="151"/>
      <c r="AY13" s="151"/>
    </row>
    <row r="14" spans="1:51">
      <c r="A14" s="152"/>
      <c r="B14" s="152"/>
      <c r="C14" s="150"/>
      <c r="D14" s="150"/>
      <c r="E14" s="150"/>
      <c r="F14" s="150"/>
      <c r="G14" s="150"/>
      <c r="H14" s="150"/>
      <c r="I14" s="150"/>
      <c r="J14" s="151"/>
      <c r="K14" s="151"/>
      <c r="L14" s="151"/>
      <c r="M14" s="151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  <c r="AG14" s="150"/>
      <c r="AH14" s="150"/>
      <c r="AI14" s="151"/>
      <c r="AJ14" s="151"/>
      <c r="AK14" s="151"/>
      <c r="AL14" s="151"/>
      <c r="AM14" s="151"/>
      <c r="AN14" s="150"/>
      <c r="AO14" s="150"/>
      <c r="AP14" s="150"/>
      <c r="AQ14" s="150"/>
      <c r="AR14" s="150"/>
      <c r="AS14" s="150"/>
      <c r="AT14" s="150"/>
      <c r="AU14" s="151"/>
      <c r="AV14" s="151"/>
      <c r="AW14" s="151"/>
      <c r="AX14" s="151"/>
      <c r="AY14" s="151"/>
    </row>
    <row r="15" spans="1:51">
      <c r="A15" s="152"/>
      <c r="B15" s="152"/>
      <c r="C15" s="150"/>
      <c r="D15" s="150"/>
      <c r="E15" s="150"/>
      <c r="F15" s="150"/>
      <c r="G15" s="150"/>
      <c r="H15" s="150"/>
      <c r="I15" s="150"/>
      <c r="J15" s="151"/>
      <c r="K15" s="151"/>
      <c r="L15" s="151"/>
      <c r="M15" s="151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  <c r="AG15" s="150"/>
      <c r="AH15" s="150"/>
      <c r="AI15" s="151"/>
      <c r="AJ15" s="151"/>
      <c r="AK15" s="151"/>
      <c r="AL15" s="151"/>
      <c r="AM15" s="151"/>
      <c r="AN15" s="150"/>
      <c r="AO15" s="150"/>
      <c r="AP15" s="150"/>
      <c r="AQ15" s="150"/>
      <c r="AR15" s="150"/>
      <c r="AS15" s="150"/>
      <c r="AT15" s="150"/>
      <c r="AU15" s="151"/>
      <c r="AV15" s="151"/>
      <c r="AW15" s="151"/>
      <c r="AX15" s="151"/>
      <c r="AY15" s="151"/>
    </row>
    <row r="16" spans="1:51">
      <c r="A16" s="152"/>
      <c r="B16" s="152"/>
      <c r="C16" s="150"/>
      <c r="D16" s="150"/>
      <c r="E16" s="150"/>
      <c r="F16" s="150"/>
      <c r="G16" s="150"/>
      <c r="H16" s="150"/>
      <c r="I16" s="150"/>
      <c r="J16" s="151"/>
      <c r="K16" s="151"/>
      <c r="L16" s="151"/>
      <c r="M16" s="151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  <c r="AG16" s="150"/>
      <c r="AH16" s="150"/>
      <c r="AI16" s="151"/>
      <c r="AJ16" s="151"/>
      <c r="AK16" s="151"/>
      <c r="AL16" s="151"/>
      <c r="AM16" s="151"/>
      <c r="AN16" s="150"/>
      <c r="AO16" s="150"/>
      <c r="AP16" s="150"/>
      <c r="AQ16" s="150"/>
      <c r="AR16" s="150"/>
      <c r="AS16" s="150"/>
      <c r="AT16" s="150"/>
      <c r="AU16" s="151"/>
      <c r="AV16" s="151"/>
      <c r="AW16" s="151"/>
      <c r="AX16" s="151"/>
      <c r="AY16" s="151"/>
    </row>
    <row r="17" spans="1:51">
      <c r="A17" s="152"/>
      <c r="B17" s="152"/>
      <c r="C17" s="150"/>
      <c r="D17" s="150"/>
      <c r="E17" s="150"/>
      <c r="F17" s="150"/>
      <c r="G17" s="150"/>
      <c r="H17" s="150"/>
      <c r="I17" s="150"/>
      <c r="J17" s="151"/>
      <c r="K17" s="151"/>
      <c r="L17" s="151"/>
      <c r="M17" s="151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  <c r="AG17" s="150"/>
      <c r="AH17" s="150"/>
      <c r="AI17" s="151"/>
      <c r="AJ17" s="151"/>
      <c r="AK17" s="151"/>
      <c r="AL17" s="151"/>
      <c r="AM17" s="151"/>
      <c r="AN17" s="150"/>
      <c r="AO17" s="150"/>
      <c r="AP17" s="150"/>
      <c r="AQ17" s="150"/>
      <c r="AR17" s="150"/>
      <c r="AS17" s="150"/>
      <c r="AT17" s="150"/>
      <c r="AU17" s="151"/>
      <c r="AV17" s="151"/>
      <c r="AW17" s="151"/>
      <c r="AX17" s="151"/>
      <c r="AY17" s="151"/>
    </row>
    <row r="18" spans="1:51">
      <c r="A18" s="152"/>
      <c r="B18" s="152"/>
      <c r="C18" s="150"/>
      <c r="D18" s="150"/>
      <c r="E18" s="150"/>
      <c r="F18" s="150"/>
      <c r="G18" s="150"/>
      <c r="H18" s="150"/>
      <c r="I18" s="150"/>
      <c r="J18" s="151"/>
      <c r="K18" s="151"/>
      <c r="L18" s="151"/>
      <c r="M18" s="151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  <c r="AG18" s="150"/>
      <c r="AH18" s="150"/>
      <c r="AI18" s="151"/>
      <c r="AJ18" s="151"/>
      <c r="AK18" s="151"/>
      <c r="AL18" s="151"/>
      <c r="AM18" s="151"/>
      <c r="AN18" s="150"/>
      <c r="AO18" s="150"/>
      <c r="AP18" s="150"/>
      <c r="AQ18" s="150"/>
      <c r="AR18" s="150"/>
      <c r="AS18" s="150"/>
      <c r="AT18" s="150"/>
      <c r="AU18" s="151"/>
      <c r="AV18" s="151"/>
      <c r="AW18" s="151"/>
      <c r="AX18" s="151"/>
      <c r="AY18" s="151"/>
    </row>
    <row r="19" spans="1:51">
      <c r="A19" s="152"/>
      <c r="B19" s="152"/>
      <c r="C19" s="150"/>
      <c r="D19" s="150"/>
      <c r="E19" s="150"/>
      <c r="F19" s="150"/>
      <c r="G19" s="150"/>
      <c r="H19" s="150"/>
      <c r="I19" s="150"/>
      <c r="J19" s="151"/>
      <c r="K19" s="151"/>
      <c r="L19" s="151"/>
      <c r="M19" s="151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  <c r="AG19" s="150"/>
      <c r="AH19" s="150"/>
      <c r="AI19" s="151"/>
      <c r="AJ19" s="151"/>
      <c r="AK19" s="151"/>
      <c r="AL19" s="151"/>
      <c r="AM19" s="151"/>
      <c r="AN19" s="150"/>
      <c r="AO19" s="150"/>
      <c r="AP19" s="150"/>
      <c r="AQ19" s="150"/>
      <c r="AR19" s="150"/>
      <c r="AS19" s="150"/>
      <c r="AT19" s="150"/>
      <c r="AU19" s="151"/>
      <c r="AV19" s="151"/>
      <c r="AW19" s="151"/>
      <c r="AX19" s="151"/>
      <c r="AY19" s="151"/>
    </row>
    <row r="20" spans="1:51">
      <c r="A20" s="152"/>
      <c r="B20" s="152"/>
      <c r="C20" s="150"/>
      <c r="D20" s="150"/>
      <c r="E20" s="150"/>
      <c r="F20" s="150"/>
      <c r="G20" s="150"/>
      <c r="H20" s="150"/>
      <c r="I20" s="150"/>
      <c r="J20" s="151"/>
      <c r="K20" s="151"/>
      <c r="L20" s="151"/>
      <c r="M20" s="151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  <c r="AG20" s="150"/>
      <c r="AH20" s="150"/>
      <c r="AI20" s="151"/>
      <c r="AJ20" s="151"/>
      <c r="AK20" s="151"/>
      <c r="AL20" s="151"/>
      <c r="AM20" s="151"/>
      <c r="AN20" s="150"/>
      <c r="AO20" s="150"/>
      <c r="AP20" s="150"/>
      <c r="AQ20" s="150"/>
      <c r="AR20" s="150"/>
      <c r="AS20" s="150"/>
      <c r="AT20" s="150"/>
      <c r="AU20" s="151"/>
      <c r="AV20" s="151"/>
      <c r="AW20" s="151"/>
      <c r="AX20" s="151"/>
      <c r="AY20" s="151"/>
    </row>
    <row r="21" spans="1:51">
      <c r="A21" s="152"/>
      <c r="B21" s="152"/>
      <c r="C21" s="150"/>
      <c r="D21" s="150"/>
      <c r="E21" s="150"/>
      <c r="F21" s="150"/>
      <c r="G21" s="150"/>
      <c r="H21" s="150"/>
      <c r="I21" s="150"/>
      <c r="J21" s="151"/>
      <c r="K21" s="151"/>
      <c r="L21" s="151"/>
      <c r="M21" s="151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  <c r="AG21" s="150"/>
      <c r="AH21" s="150"/>
      <c r="AI21" s="151"/>
      <c r="AJ21" s="151"/>
      <c r="AK21" s="151"/>
      <c r="AL21" s="151"/>
      <c r="AM21" s="151"/>
      <c r="AN21" s="150"/>
      <c r="AO21" s="150"/>
      <c r="AP21" s="150"/>
      <c r="AQ21" s="150"/>
      <c r="AR21" s="150"/>
      <c r="AS21" s="150"/>
      <c r="AT21" s="150"/>
      <c r="AU21" s="151"/>
      <c r="AV21" s="151"/>
      <c r="AW21" s="151"/>
      <c r="AX21" s="151"/>
      <c r="AY21" s="151"/>
    </row>
    <row r="22" spans="1:51">
      <c r="A22" s="152"/>
      <c r="B22" s="152"/>
      <c r="C22" s="150"/>
      <c r="D22" s="150"/>
      <c r="E22" s="150"/>
      <c r="F22" s="150"/>
      <c r="G22" s="150"/>
      <c r="H22" s="150"/>
      <c r="I22" s="150"/>
      <c r="J22" s="151"/>
      <c r="K22" s="151"/>
      <c r="L22" s="151"/>
      <c r="M22" s="151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  <c r="AG22" s="150"/>
      <c r="AH22" s="150"/>
      <c r="AI22" s="151"/>
      <c r="AJ22" s="151"/>
      <c r="AK22" s="151"/>
      <c r="AL22" s="151"/>
      <c r="AM22" s="151"/>
      <c r="AN22" s="150"/>
      <c r="AO22" s="150"/>
      <c r="AP22" s="150"/>
      <c r="AQ22" s="150"/>
      <c r="AR22" s="150"/>
      <c r="AS22" s="150"/>
      <c r="AT22" s="150"/>
      <c r="AU22" s="151"/>
      <c r="AV22" s="151"/>
      <c r="AW22" s="151"/>
      <c r="AX22" s="151"/>
      <c r="AY22" s="151"/>
    </row>
    <row r="23" spans="1:51">
      <c r="A23" s="152"/>
      <c r="B23" s="152"/>
      <c r="C23" s="150"/>
      <c r="D23" s="150"/>
      <c r="E23" s="150"/>
      <c r="F23" s="150"/>
      <c r="G23" s="150"/>
      <c r="H23" s="150"/>
      <c r="I23" s="150"/>
      <c r="J23" s="151"/>
      <c r="K23" s="151"/>
      <c r="L23" s="151"/>
      <c r="M23" s="151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  <c r="AG23" s="150"/>
      <c r="AH23" s="150"/>
      <c r="AI23" s="151"/>
      <c r="AJ23" s="151"/>
      <c r="AK23" s="151"/>
      <c r="AL23" s="151"/>
      <c r="AM23" s="151"/>
      <c r="AN23" s="150"/>
      <c r="AO23" s="150"/>
      <c r="AP23" s="150"/>
      <c r="AQ23" s="150"/>
      <c r="AR23" s="150"/>
      <c r="AS23" s="150"/>
      <c r="AT23" s="150"/>
      <c r="AU23" s="151"/>
      <c r="AV23" s="151"/>
      <c r="AW23" s="151"/>
      <c r="AX23" s="151"/>
      <c r="AY23" s="151"/>
    </row>
    <row r="24" spans="1:51">
      <c r="A24" s="152"/>
      <c r="B24" s="152"/>
      <c r="C24" s="150"/>
      <c r="D24" s="150"/>
      <c r="E24" s="150"/>
      <c r="F24" s="150"/>
      <c r="G24" s="150"/>
      <c r="H24" s="150"/>
      <c r="I24" s="150"/>
      <c r="J24" s="151"/>
      <c r="K24" s="151"/>
      <c r="L24" s="151"/>
      <c r="M24" s="151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  <c r="AG24" s="150"/>
      <c r="AH24" s="150"/>
      <c r="AI24" s="151"/>
      <c r="AJ24" s="151"/>
      <c r="AK24" s="151"/>
      <c r="AL24" s="151"/>
      <c r="AM24" s="151"/>
      <c r="AN24" s="150"/>
      <c r="AO24" s="150"/>
      <c r="AP24" s="150"/>
      <c r="AQ24" s="150"/>
      <c r="AR24" s="150"/>
      <c r="AS24" s="150"/>
      <c r="AT24" s="150"/>
      <c r="AU24" s="153"/>
      <c r="AV24" s="154"/>
      <c r="AW24" s="154"/>
      <c r="AX24" s="154"/>
      <c r="AY24" s="155"/>
    </row>
    <row r="25" spans="1:51">
      <c r="A25" s="152"/>
      <c r="B25" s="152"/>
      <c r="C25" s="150"/>
      <c r="D25" s="150"/>
      <c r="E25" s="150"/>
      <c r="F25" s="150"/>
      <c r="G25" s="150"/>
      <c r="H25" s="150"/>
      <c r="I25" s="150"/>
      <c r="J25" s="151"/>
      <c r="K25" s="151"/>
      <c r="L25" s="151"/>
      <c r="M25" s="151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  <c r="AG25" s="150"/>
      <c r="AH25" s="150"/>
      <c r="AI25" s="151"/>
      <c r="AJ25" s="151"/>
      <c r="AK25" s="151"/>
      <c r="AL25" s="151"/>
      <c r="AM25" s="151"/>
      <c r="AN25" s="150"/>
      <c r="AO25" s="150"/>
      <c r="AP25" s="150"/>
      <c r="AQ25" s="150"/>
      <c r="AR25" s="150"/>
      <c r="AS25" s="150"/>
      <c r="AT25" s="150"/>
      <c r="AU25" s="153"/>
      <c r="AV25" s="154"/>
      <c r="AW25" s="154"/>
      <c r="AX25" s="154"/>
      <c r="AY25" s="155"/>
    </row>
    <row r="26" spans="1:51">
      <c r="A26" s="152"/>
      <c r="B26" s="152"/>
      <c r="C26" s="150"/>
      <c r="D26" s="150"/>
      <c r="E26" s="150"/>
      <c r="F26" s="150"/>
      <c r="G26" s="150"/>
      <c r="H26" s="150"/>
      <c r="I26" s="150"/>
      <c r="J26" s="151"/>
      <c r="K26" s="151"/>
      <c r="L26" s="151"/>
      <c r="M26" s="151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  <c r="AG26" s="150"/>
      <c r="AH26" s="150"/>
      <c r="AI26" s="151"/>
      <c r="AJ26" s="151"/>
      <c r="AK26" s="151"/>
      <c r="AL26" s="151"/>
      <c r="AM26" s="151"/>
      <c r="AN26" s="150"/>
      <c r="AO26" s="150"/>
      <c r="AP26" s="150"/>
      <c r="AQ26" s="150"/>
      <c r="AR26" s="150"/>
      <c r="AS26" s="150"/>
      <c r="AT26" s="150"/>
      <c r="AU26" s="151"/>
      <c r="AV26" s="151"/>
      <c r="AW26" s="151"/>
      <c r="AX26" s="151"/>
      <c r="AY26" s="151"/>
    </row>
    <row r="27" spans="1:51">
      <c r="A27" s="152"/>
      <c r="B27" s="152"/>
      <c r="C27" s="150"/>
      <c r="D27" s="150"/>
      <c r="E27" s="150"/>
      <c r="F27" s="150"/>
      <c r="G27" s="150"/>
      <c r="H27" s="150"/>
      <c r="I27" s="150"/>
      <c r="J27" s="151"/>
      <c r="K27" s="151"/>
      <c r="L27" s="151"/>
      <c r="M27" s="151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  <c r="AG27" s="150"/>
      <c r="AH27" s="150"/>
      <c r="AI27" s="151"/>
      <c r="AJ27" s="151"/>
      <c r="AK27" s="151"/>
      <c r="AL27" s="151"/>
      <c r="AM27" s="151"/>
      <c r="AN27" s="150"/>
      <c r="AO27" s="150"/>
      <c r="AP27" s="150"/>
      <c r="AQ27" s="150"/>
      <c r="AR27" s="150"/>
      <c r="AS27" s="150"/>
      <c r="AT27" s="150"/>
      <c r="AU27" s="151"/>
      <c r="AV27" s="151"/>
      <c r="AW27" s="151"/>
      <c r="AX27" s="151"/>
      <c r="AY27" s="151"/>
    </row>
    <row r="28" spans="1:51">
      <c r="A28" s="152"/>
      <c r="B28" s="152"/>
      <c r="C28" s="150"/>
      <c r="D28" s="150"/>
      <c r="E28" s="150"/>
      <c r="F28" s="150"/>
      <c r="G28" s="150"/>
      <c r="H28" s="150"/>
      <c r="I28" s="150"/>
      <c r="J28" s="151"/>
      <c r="K28" s="151"/>
      <c r="L28" s="151"/>
      <c r="M28" s="151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1"/>
      <c r="AJ28" s="151"/>
      <c r="AK28" s="151"/>
      <c r="AL28" s="151"/>
      <c r="AM28" s="151"/>
      <c r="AN28" s="150"/>
      <c r="AO28" s="150"/>
      <c r="AP28" s="150"/>
      <c r="AQ28" s="150"/>
      <c r="AR28" s="150"/>
      <c r="AS28" s="150"/>
      <c r="AT28" s="150"/>
      <c r="AU28" s="151"/>
      <c r="AV28" s="151"/>
      <c r="AW28" s="151"/>
      <c r="AX28" s="151"/>
      <c r="AY28" s="151"/>
    </row>
    <row r="29" spans="1:51">
      <c r="A29" s="152"/>
      <c r="B29" s="152"/>
      <c r="C29" s="150"/>
      <c r="D29" s="150"/>
      <c r="E29" s="150"/>
      <c r="F29" s="150"/>
      <c r="G29" s="150"/>
      <c r="H29" s="150"/>
      <c r="I29" s="150"/>
      <c r="J29" s="151"/>
      <c r="K29" s="151"/>
      <c r="L29" s="151"/>
      <c r="M29" s="151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  <c r="AG29" s="150"/>
      <c r="AH29" s="150"/>
      <c r="AI29" s="151"/>
      <c r="AJ29" s="151"/>
      <c r="AK29" s="151"/>
      <c r="AL29" s="151"/>
      <c r="AM29" s="151"/>
      <c r="AN29" s="150"/>
      <c r="AO29" s="150"/>
      <c r="AP29" s="150"/>
      <c r="AQ29" s="150"/>
      <c r="AR29" s="150"/>
      <c r="AS29" s="150"/>
      <c r="AT29" s="150"/>
      <c r="AU29" s="151"/>
      <c r="AV29" s="151"/>
      <c r="AW29" s="151"/>
      <c r="AX29" s="151"/>
      <c r="AY29" s="151"/>
    </row>
    <row r="30" spans="1:51">
      <c r="A30" s="152"/>
      <c r="B30" s="152"/>
      <c r="C30" s="150"/>
      <c r="D30" s="150"/>
      <c r="E30" s="150"/>
      <c r="F30" s="150"/>
      <c r="G30" s="150"/>
      <c r="H30" s="150"/>
      <c r="I30" s="150"/>
      <c r="J30" s="151"/>
      <c r="K30" s="151"/>
      <c r="L30" s="151"/>
      <c r="M30" s="151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  <c r="AG30" s="150"/>
      <c r="AH30" s="150"/>
      <c r="AI30" s="151"/>
      <c r="AJ30" s="151"/>
      <c r="AK30" s="151"/>
      <c r="AL30" s="151"/>
      <c r="AM30" s="151"/>
      <c r="AN30" s="150"/>
      <c r="AO30" s="150"/>
      <c r="AP30" s="150"/>
      <c r="AQ30" s="150"/>
      <c r="AR30" s="150"/>
      <c r="AS30" s="150"/>
      <c r="AT30" s="150"/>
      <c r="AU30" s="151"/>
      <c r="AV30" s="151"/>
      <c r="AW30" s="151"/>
      <c r="AX30" s="151"/>
      <c r="AY30" s="151"/>
    </row>
    <row r="31" spans="1:51">
      <c r="A31" s="152"/>
      <c r="B31" s="152"/>
      <c r="C31" s="150"/>
      <c r="D31" s="150"/>
      <c r="E31" s="150"/>
      <c r="F31" s="150"/>
      <c r="G31" s="150"/>
      <c r="H31" s="150"/>
      <c r="I31" s="150"/>
      <c r="J31" s="151"/>
      <c r="K31" s="151"/>
      <c r="L31" s="151"/>
      <c r="M31" s="151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  <c r="AG31" s="150"/>
      <c r="AH31" s="150"/>
      <c r="AI31" s="151"/>
      <c r="AJ31" s="151"/>
      <c r="AK31" s="151"/>
      <c r="AL31" s="151"/>
      <c r="AM31" s="151"/>
      <c r="AN31" s="150"/>
      <c r="AO31" s="150"/>
      <c r="AP31" s="150"/>
      <c r="AQ31" s="150"/>
      <c r="AR31" s="150"/>
      <c r="AS31" s="150"/>
      <c r="AT31" s="150"/>
      <c r="AU31" s="151"/>
      <c r="AV31" s="151"/>
      <c r="AW31" s="151"/>
      <c r="AX31" s="151"/>
      <c r="AY31" s="151"/>
    </row>
  </sheetData>
  <mergeCells count="204">
    <mergeCell ref="A1:F2"/>
    <mergeCell ref="K1:AY4"/>
    <mergeCell ref="A3:F3"/>
    <mergeCell ref="A4:F4"/>
    <mergeCell ref="A6:B7"/>
    <mergeCell ref="C6:I7"/>
    <mergeCell ref="J6:M7"/>
    <mergeCell ref="N6:AA7"/>
    <mergeCell ref="AB6:AH7"/>
    <mergeCell ref="AI6:AM7"/>
    <mergeCell ref="AN6:AT7"/>
    <mergeCell ref="AU6:AY7"/>
    <mergeCell ref="A8:B8"/>
    <mergeCell ref="C8:I8"/>
    <mergeCell ref="J8:M8"/>
    <mergeCell ref="N8:AA8"/>
    <mergeCell ref="AB8:AH8"/>
    <mergeCell ref="AI8:AM8"/>
    <mergeCell ref="AN8:AT8"/>
    <mergeCell ref="AU8:AY8"/>
    <mergeCell ref="AN9:AT9"/>
    <mergeCell ref="AU9:AY9"/>
    <mergeCell ref="A10:B10"/>
    <mergeCell ref="C10:I10"/>
    <mergeCell ref="J10:M10"/>
    <mergeCell ref="N10:AA10"/>
    <mergeCell ref="AB10:AH10"/>
    <mergeCell ref="AI10:AM10"/>
    <mergeCell ref="AN10:AT10"/>
    <mergeCell ref="AU10:AY10"/>
    <mergeCell ref="A9:B9"/>
    <mergeCell ref="C9:I9"/>
    <mergeCell ref="J9:M9"/>
    <mergeCell ref="N9:AA9"/>
    <mergeCell ref="AB9:AH9"/>
    <mergeCell ref="AI9:AM9"/>
    <mergeCell ref="AN11:AT11"/>
    <mergeCell ref="AU11:AY11"/>
    <mergeCell ref="A12:B12"/>
    <mergeCell ref="C12:I12"/>
    <mergeCell ref="J12:M12"/>
    <mergeCell ref="N12:AA12"/>
    <mergeCell ref="AB12:AH12"/>
    <mergeCell ref="AI12:AM12"/>
    <mergeCell ref="AN12:AT12"/>
    <mergeCell ref="AU12:AY12"/>
    <mergeCell ref="A11:B11"/>
    <mergeCell ref="C11:I11"/>
    <mergeCell ref="J11:M11"/>
    <mergeCell ref="N11:AA11"/>
    <mergeCell ref="AB11:AH11"/>
    <mergeCell ref="AI11:AM11"/>
    <mergeCell ref="AN13:AT13"/>
    <mergeCell ref="AU13:AY13"/>
    <mergeCell ref="A14:B14"/>
    <mergeCell ref="C14:I14"/>
    <mergeCell ref="J14:M14"/>
    <mergeCell ref="N14:AA14"/>
    <mergeCell ref="AB14:AH14"/>
    <mergeCell ref="AI14:AM14"/>
    <mergeCell ref="AN14:AT14"/>
    <mergeCell ref="AU14:AY14"/>
    <mergeCell ref="A13:B13"/>
    <mergeCell ref="C13:I13"/>
    <mergeCell ref="J13:M13"/>
    <mergeCell ref="N13:AA13"/>
    <mergeCell ref="AB13:AH13"/>
    <mergeCell ref="AI13:AM13"/>
    <mergeCell ref="AN15:AT15"/>
    <mergeCell ref="AU15:AY15"/>
    <mergeCell ref="A16:B16"/>
    <mergeCell ref="C16:I16"/>
    <mergeCell ref="J16:M16"/>
    <mergeCell ref="N16:AA16"/>
    <mergeCell ref="AB16:AH16"/>
    <mergeCell ref="AI16:AM16"/>
    <mergeCell ref="AN16:AT16"/>
    <mergeCell ref="AU16:AY16"/>
    <mergeCell ref="A15:B15"/>
    <mergeCell ref="C15:I15"/>
    <mergeCell ref="J15:M15"/>
    <mergeCell ref="N15:AA15"/>
    <mergeCell ref="AB15:AH15"/>
    <mergeCell ref="AI15:AM15"/>
    <mergeCell ref="AN17:AT17"/>
    <mergeCell ref="AU17:AY17"/>
    <mergeCell ref="A18:B18"/>
    <mergeCell ref="C18:I18"/>
    <mergeCell ref="J18:M18"/>
    <mergeCell ref="N18:AA18"/>
    <mergeCell ref="AB18:AH18"/>
    <mergeCell ref="AI18:AM18"/>
    <mergeCell ref="AN18:AT18"/>
    <mergeCell ref="AU18:AY18"/>
    <mergeCell ref="A17:B17"/>
    <mergeCell ref="C17:I17"/>
    <mergeCell ref="J17:M17"/>
    <mergeCell ref="N17:AA17"/>
    <mergeCell ref="AB17:AH17"/>
    <mergeCell ref="AI17:AM17"/>
    <mergeCell ref="AN19:AT19"/>
    <mergeCell ref="AU19:AY19"/>
    <mergeCell ref="A20:B20"/>
    <mergeCell ref="C20:I20"/>
    <mergeCell ref="J20:M20"/>
    <mergeCell ref="N20:AA20"/>
    <mergeCell ref="AB20:AH20"/>
    <mergeCell ref="AI20:AM20"/>
    <mergeCell ref="AN20:AT20"/>
    <mergeCell ref="AU20:AY20"/>
    <mergeCell ref="A19:B19"/>
    <mergeCell ref="C19:I19"/>
    <mergeCell ref="J19:M19"/>
    <mergeCell ref="N19:AA19"/>
    <mergeCell ref="AB19:AH19"/>
    <mergeCell ref="AI19:AM19"/>
    <mergeCell ref="AN21:AT21"/>
    <mergeCell ref="AU21:AY21"/>
    <mergeCell ref="A22:B22"/>
    <mergeCell ref="C22:I22"/>
    <mergeCell ref="J22:M22"/>
    <mergeCell ref="N22:AA22"/>
    <mergeCell ref="AB22:AH22"/>
    <mergeCell ref="AI22:AM22"/>
    <mergeCell ref="AN22:AT22"/>
    <mergeCell ref="AU22:AY22"/>
    <mergeCell ref="A21:B21"/>
    <mergeCell ref="C21:I21"/>
    <mergeCell ref="J21:M21"/>
    <mergeCell ref="N21:AA21"/>
    <mergeCell ref="AB21:AH21"/>
    <mergeCell ref="AI21:AM21"/>
    <mergeCell ref="AN23:AT23"/>
    <mergeCell ref="AU23:AY23"/>
    <mergeCell ref="A24:B24"/>
    <mergeCell ref="C24:I24"/>
    <mergeCell ref="J24:M24"/>
    <mergeCell ref="N24:AA24"/>
    <mergeCell ref="AB24:AH24"/>
    <mergeCell ref="AI24:AM24"/>
    <mergeCell ref="AN24:AT24"/>
    <mergeCell ref="AU24:AY24"/>
    <mergeCell ref="A23:B23"/>
    <mergeCell ref="C23:I23"/>
    <mergeCell ref="J23:M23"/>
    <mergeCell ref="N23:AA23"/>
    <mergeCell ref="AB23:AH23"/>
    <mergeCell ref="AI23:AM23"/>
    <mergeCell ref="AN25:AT25"/>
    <mergeCell ref="AU25:AY25"/>
    <mergeCell ref="A26:B26"/>
    <mergeCell ref="C26:I26"/>
    <mergeCell ref="J26:M26"/>
    <mergeCell ref="N26:AA26"/>
    <mergeCell ref="AB26:AH26"/>
    <mergeCell ref="AI26:AM26"/>
    <mergeCell ref="AN26:AT26"/>
    <mergeCell ref="AU26:AY26"/>
    <mergeCell ref="A25:B25"/>
    <mergeCell ref="C25:I25"/>
    <mergeCell ref="J25:M25"/>
    <mergeCell ref="N25:AA25"/>
    <mergeCell ref="AB25:AH25"/>
    <mergeCell ref="AI25:AM25"/>
    <mergeCell ref="AN27:AT27"/>
    <mergeCell ref="AU27:AY27"/>
    <mergeCell ref="A28:B28"/>
    <mergeCell ref="C28:I28"/>
    <mergeCell ref="J28:M28"/>
    <mergeCell ref="N28:AA28"/>
    <mergeCell ref="AB28:AH28"/>
    <mergeCell ref="AI28:AM28"/>
    <mergeCell ref="AN28:AT28"/>
    <mergeCell ref="AU28:AY28"/>
    <mergeCell ref="A27:B27"/>
    <mergeCell ref="C27:I27"/>
    <mergeCell ref="J27:M27"/>
    <mergeCell ref="N27:AA27"/>
    <mergeCell ref="AB27:AH27"/>
    <mergeCell ref="AI27:AM27"/>
    <mergeCell ref="AN31:AT31"/>
    <mergeCell ref="AU31:AY31"/>
    <mergeCell ref="A31:B31"/>
    <mergeCell ref="C31:I31"/>
    <mergeCell ref="J31:M31"/>
    <mergeCell ref="N31:AA31"/>
    <mergeCell ref="AB31:AH31"/>
    <mergeCell ref="AI31:AM31"/>
    <mergeCell ref="AN29:AT29"/>
    <mergeCell ref="AU29:AY29"/>
    <mergeCell ref="A30:B30"/>
    <mergeCell ref="C30:I30"/>
    <mergeCell ref="J30:M30"/>
    <mergeCell ref="N30:AA30"/>
    <mergeCell ref="AB30:AH30"/>
    <mergeCell ref="AI30:AM30"/>
    <mergeCell ref="AN30:AT30"/>
    <mergeCell ref="AU30:AY30"/>
    <mergeCell ref="A29:B29"/>
    <mergeCell ref="C29:I29"/>
    <mergeCell ref="J29:M29"/>
    <mergeCell ref="N29:AA29"/>
    <mergeCell ref="AB29:AH29"/>
    <mergeCell ref="AI29:AM29"/>
  </mergeCells>
  <dataValidations count="1">
    <dataValidation type="list" operator="equal" sqref="B4 B1:B2" xr:uid="{F60A0548-B679-4602-A011-BB46D4B9ECA1}">
      <formula1>"Normal,Abnormal"</formula1>
      <formula2>0</formula2>
    </dataValidation>
  </dataValidations>
  <pageMargins left="0.7" right="0.7" top="0.75" bottom="0.75" header="0.3" footer="0.3"/>
  <pageSetup scale="8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3E2A-F2C0-4CAB-850A-A40C2DCEEDEF}">
  <dimension ref="A1:G52"/>
  <sheetViews>
    <sheetView showGridLines="0" view="pageBreakPreview" zoomScale="70" zoomScaleNormal="100" zoomScaleSheetLayoutView="70" workbookViewId="0">
      <pane xSplit="4" ySplit="3" topLeftCell="E4" activePane="bottomRight" state="frozen"/>
      <selection pane="topRight" activeCell="H30" sqref="H30:T30"/>
      <selection pane="bottomLeft" activeCell="H30" sqref="H30:T30"/>
      <selection pane="bottomRight" activeCell="G57" sqref="G57"/>
    </sheetView>
  </sheetViews>
  <sheetFormatPr defaultColWidth="10.28515625" defaultRowHeight="15" customHeight="1"/>
  <cols>
    <col min="1" max="1" width="14.5703125" style="107" customWidth="1"/>
    <col min="2" max="2" width="21.85546875" style="90" customWidth="1"/>
    <col min="3" max="3" width="66.5703125" style="91" customWidth="1"/>
    <col min="4" max="4" width="12" style="92" customWidth="1"/>
    <col min="5" max="5" width="8.7109375" style="92" customWidth="1"/>
    <col min="6" max="6" width="12.42578125" style="92" customWidth="1"/>
    <col min="7" max="7" width="76.5703125" style="92" customWidth="1"/>
    <col min="8" max="8" width="3.5703125" style="92" customWidth="1"/>
    <col min="9" max="12" width="10.28515625" style="92" customWidth="1"/>
    <col min="13" max="13" width="2.5703125" style="92" customWidth="1"/>
    <col min="14" max="17" width="10.28515625" style="92" customWidth="1"/>
    <col min="18" max="16384" width="10.28515625" style="92"/>
  </cols>
  <sheetData>
    <row r="1" spans="1:7">
      <c r="A1" s="89"/>
    </row>
    <row r="2" spans="1:7" ht="14.45" customHeight="1">
      <c r="A2" s="164" t="s">
        <v>24</v>
      </c>
      <c r="B2" s="164" t="s">
        <v>25</v>
      </c>
      <c r="C2" s="164" t="s">
        <v>26</v>
      </c>
      <c r="D2" s="166" t="s">
        <v>27</v>
      </c>
      <c r="F2" s="171" t="s">
        <v>28</v>
      </c>
      <c r="G2" s="169" t="s">
        <v>29</v>
      </c>
    </row>
    <row r="3" spans="1:7">
      <c r="A3" s="165"/>
      <c r="B3" s="165"/>
      <c r="C3" s="165"/>
      <c r="D3" s="167"/>
      <c r="F3" s="172"/>
      <c r="G3" s="170"/>
    </row>
    <row r="4" spans="1:7" ht="28.5" customHeight="1">
      <c r="A4" s="119"/>
      <c r="B4" s="108" t="s">
        <v>30</v>
      </c>
      <c r="C4" s="108"/>
      <c r="D4" s="108"/>
      <c r="F4" s="93"/>
      <c r="G4" s="93"/>
    </row>
    <row r="5" spans="1:7" ht="30.75" customHeight="1">
      <c r="A5" s="119"/>
      <c r="B5" s="114" t="s">
        <v>31</v>
      </c>
      <c r="C5" s="115" t="s">
        <v>32</v>
      </c>
      <c r="D5" s="109" t="s">
        <v>33</v>
      </c>
      <c r="F5" s="94"/>
      <c r="G5" s="94"/>
    </row>
    <row r="6" spans="1:7" ht="30.75" customHeight="1">
      <c r="A6" s="119"/>
      <c r="B6" s="114" t="s">
        <v>34</v>
      </c>
      <c r="C6" s="115" t="s">
        <v>35</v>
      </c>
      <c r="D6" s="109" t="s">
        <v>33</v>
      </c>
      <c r="F6" s="95"/>
      <c r="G6" s="96"/>
    </row>
    <row r="7" spans="1:7" ht="42.75" customHeight="1">
      <c r="A7" s="119"/>
      <c r="B7" s="114" t="s">
        <v>36</v>
      </c>
      <c r="C7" s="115" t="s">
        <v>37</v>
      </c>
      <c r="D7" s="109" t="s">
        <v>33</v>
      </c>
      <c r="F7" s="95"/>
      <c r="G7" s="96"/>
    </row>
    <row r="8" spans="1:7" ht="30.75" customHeight="1">
      <c r="A8" s="119"/>
      <c r="B8" s="114" t="s">
        <v>38</v>
      </c>
      <c r="C8" s="115" t="s">
        <v>39</v>
      </c>
      <c r="D8" s="109" t="s">
        <v>33</v>
      </c>
      <c r="F8" s="95"/>
      <c r="G8" s="96"/>
    </row>
    <row r="9" spans="1:7" ht="14.45" customHeight="1">
      <c r="A9" s="119"/>
      <c r="B9" s="110"/>
      <c r="C9" s="110"/>
      <c r="D9" s="110"/>
      <c r="F9" s="93"/>
      <c r="G9" s="93"/>
    </row>
    <row r="10" spans="1:7" ht="31.5" customHeight="1">
      <c r="A10" s="119"/>
      <c r="B10" s="116"/>
      <c r="C10" s="117"/>
      <c r="D10" s="111"/>
      <c r="F10" s="95"/>
      <c r="G10" s="96"/>
    </row>
    <row r="11" spans="1:7">
      <c r="A11" s="119"/>
      <c r="B11" s="116"/>
      <c r="C11" s="117"/>
      <c r="D11" s="112"/>
      <c r="F11" s="94"/>
      <c r="G11" s="94"/>
    </row>
    <row r="12" spans="1:7">
      <c r="A12" s="119"/>
      <c r="B12" s="117"/>
      <c r="C12" s="117"/>
      <c r="D12" s="111"/>
      <c r="F12" s="95"/>
      <c r="G12" s="96"/>
    </row>
    <row r="13" spans="1:7">
      <c r="A13" s="119"/>
      <c r="B13" s="117"/>
      <c r="C13" s="117"/>
      <c r="D13" s="112"/>
      <c r="F13" s="95"/>
      <c r="G13" s="96"/>
    </row>
    <row r="14" spans="1:7">
      <c r="A14" s="119"/>
      <c r="B14" s="117"/>
      <c r="C14" s="117"/>
      <c r="D14" s="112"/>
      <c r="F14" s="94"/>
      <c r="G14" s="94"/>
    </row>
    <row r="15" spans="1:7">
      <c r="A15" s="119"/>
      <c r="B15" s="117"/>
      <c r="C15" s="117"/>
      <c r="D15" s="112"/>
      <c r="F15" s="95"/>
      <c r="G15" s="96"/>
    </row>
    <row r="16" spans="1:7">
      <c r="A16" s="119"/>
      <c r="B16" s="117"/>
      <c r="C16" s="117"/>
      <c r="D16" s="112"/>
      <c r="F16" s="95"/>
      <c r="G16" s="96"/>
    </row>
    <row r="17" spans="1:7" ht="14.45" customHeight="1">
      <c r="A17" s="119"/>
      <c r="B17" s="110"/>
      <c r="C17" s="110"/>
      <c r="D17" s="110"/>
      <c r="F17" s="93"/>
      <c r="G17" s="93"/>
    </row>
    <row r="18" spans="1:7">
      <c r="A18" s="119"/>
      <c r="B18" s="117"/>
      <c r="C18" s="117"/>
      <c r="D18" s="111"/>
      <c r="F18" s="95"/>
      <c r="G18" s="96"/>
    </row>
    <row r="19" spans="1:7">
      <c r="A19" s="119"/>
      <c r="B19" s="117"/>
      <c r="C19" s="117"/>
      <c r="D19" s="112"/>
      <c r="F19" s="97"/>
      <c r="G19" s="97"/>
    </row>
    <row r="20" spans="1:7">
      <c r="A20" s="119"/>
      <c r="B20" s="117"/>
      <c r="C20" s="117"/>
      <c r="D20" s="112"/>
      <c r="F20" s="95"/>
      <c r="G20" s="96"/>
    </row>
    <row r="21" spans="1:7">
      <c r="A21" s="119"/>
      <c r="B21" s="117"/>
      <c r="C21" s="117"/>
      <c r="D21" s="112"/>
      <c r="F21" s="95"/>
      <c r="G21" s="96"/>
    </row>
    <row r="22" spans="1:7">
      <c r="A22" s="119"/>
      <c r="B22" s="117"/>
      <c r="C22" s="117"/>
      <c r="D22" s="112"/>
      <c r="F22" s="95"/>
      <c r="G22" s="96"/>
    </row>
    <row r="23" spans="1:7">
      <c r="A23" s="119"/>
      <c r="B23" s="117"/>
      <c r="C23" s="117"/>
      <c r="D23" s="112"/>
      <c r="F23" s="95"/>
      <c r="G23" s="96"/>
    </row>
    <row r="24" spans="1:7">
      <c r="A24" s="119"/>
      <c r="B24" s="117"/>
      <c r="C24" s="117"/>
      <c r="D24" s="112"/>
      <c r="F24" s="95"/>
      <c r="G24" s="96"/>
    </row>
    <row r="25" spans="1:7">
      <c r="A25" s="119"/>
      <c r="B25" s="117"/>
      <c r="C25" s="117"/>
      <c r="D25" s="112"/>
      <c r="F25" s="95"/>
      <c r="G25" s="96"/>
    </row>
    <row r="26" spans="1:7" ht="14.45" customHeight="1">
      <c r="A26" s="119"/>
      <c r="B26" s="110"/>
      <c r="C26" s="110"/>
      <c r="D26" s="110"/>
      <c r="F26" s="93"/>
      <c r="G26" s="93"/>
    </row>
    <row r="27" spans="1:7">
      <c r="A27" s="119"/>
      <c r="B27" s="117"/>
      <c r="C27" s="117"/>
      <c r="D27" s="112"/>
      <c r="F27" s="95"/>
      <c r="G27" s="96"/>
    </row>
    <row r="28" spans="1:7">
      <c r="A28" s="119"/>
      <c r="B28" s="117"/>
      <c r="C28" s="117"/>
      <c r="D28" s="111"/>
      <c r="F28" s="95"/>
      <c r="G28" s="96"/>
    </row>
    <row r="29" spans="1:7">
      <c r="A29" s="119"/>
      <c r="B29" s="117"/>
      <c r="C29" s="117"/>
      <c r="D29" s="112"/>
      <c r="F29" s="95"/>
      <c r="G29" s="96"/>
    </row>
    <row r="30" spans="1:7">
      <c r="A30" s="119"/>
      <c r="B30" s="117"/>
      <c r="C30" s="117"/>
      <c r="D30" s="112"/>
      <c r="F30" s="95"/>
      <c r="G30" s="96"/>
    </row>
    <row r="31" spans="1:7">
      <c r="A31" s="119"/>
      <c r="B31" s="117"/>
      <c r="C31" s="117"/>
      <c r="D31" s="112"/>
      <c r="F31" s="95"/>
      <c r="G31" s="96"/>
    </row>
    <row r="32" spans="1:7">
      <c r="A32" s="119"/>
      <c r="B32" s="117"/>
      <c r="C32" s="117"/>
      <c r="D32" s="112"/>
      <c r="F32" s="95"/>
      <c r="G32" s="96"/>
    </row>
    <row r="33" spans="1:7">
      <c r="A33" s="119"/>
      <c r="B33" s="117"/>
      <c r="C33" s="117"/>
      <c r="D33" s="112"/>
      <c r="F33" s="95"/>
      <c r="G33" s="96"/>
    </row>
    <row r="34" spans="1:7" ht="14.45" customHeight="1">
      <c r="A34" s="119"/>
      <c r="B34" s="110"/>
      <c r="C34" s="110"/>
      <c r="D34" s="110"/>
      <c r="F34" s="93"/>
      <c r="G34" s="93"/>
    </row>
    <row r="35" spans="1:7">
      <c r="A35" s="119"/>
      <c r="B35" s="118"/>
      <c r="C35" s="118"/>
      <c r="D35" s="113"/>
      <c r="F35" s="95"/>
      <c r="G35" s="96"/>
    </row>
    <row r="36" spans="1:7">
      <c r="A36" s="119"/>
      <c r="B36" s="117"/>
      <c r="C36" s="117"/>
      <c r="D36" s="112"/>
      <c r="F36" s="95"/>
      <c r="G36" s="96"/>
    </row>
    <row r="37" spans="1:7">
      <c r="A37" s="119"/>
      <c r="B37" s="117"/>
      <c r="C37" s="117"/>
      <c r="D37" s="112"/>
      <c r="F37" s="95"/>
      <c r="G37" s="96"/>
    </row>
    <row r="38" spans="1:7">
      <c r="A38" s="119"/>
      <c r="B38" s="117"/>
      <c r="C38" s="117"/>
      <c r="D38" s="112"/>
      <c r="F38" s="95"/>
      <c r="G38" s="96"/>
    </row>
    <row r="39" spans="1:7">
      <c r="A39" s="119"/>
      <c r="B39" s="117"/>
      <c r="C39" s="117"/>
      <c r="D39" s="112"/>
      <c r="F39" s="95"/>
      <c r="G39" s="96"/>
    </row>
    <row r="40" spans="1:7">
      <c r="A40" s="119"/>
      <c r="B40" s="117"/>
      <c r="C40" s="117"/>
      <c r="D40" s="112"/>
      <c r="F40" s="95"/>
      <c r="G40" s="96"/>
    </row>
    <row r="41" spans="1:7">
      <c r="A41" s="119"/>
      <c r="B41" s="117"/>
      <c r="C41" s="117"/>
      <c r="D41" s="112"/>
      <c r="F41" s="95"/>
      <c r="G41" s="96"/>
    </row>
    <row r="42" spans="1:7" ht="14.45" customHeight="1">
      <c r="A42" s="119"/>
      <c r="B42" s="110"/>
      <c r="C42" s="110"/>
      <c r="D42" s="110"/>
      <c r="F42" s="93"/>
      <c r="G42" s="93"/>
    </row>
    <row r="43" spans="1:7">
      <c r="A43" s="119"/>
      <c r="B43" s="117"/>
      <c r="C43" s="118"/>
      <c r="D43" s="111"/>
      <c r="F43" s="95"/>
      <c r="G43" s="96"/>
    </row>
    <row r="44" spans="1:7">
      <c r="A44" s="119"/>
      <c r="B44" s="117"/>
      <c r="C44" s="118"/>
      <c r="D44" s="111"/>
      <c r="F44" s="95"/>
      <c r="G44" s="96"/>
    </row>
    <row r="45" spans="1:7">
      <c r="A45" s="119"/>
      <c r="B45" s="117"/>
      <c r="C45" s="118"/>
      <c r="D45" s="111"/>
      <c r="F45" s="95"/>
      <c r="G45" s="96"/>
    </row>
    <row r="46" spans="1:7">
      <c r="A46" s="119"/>
      <c r="B46" s="117"/>
      <c r="C46" s="118"/>
      <c r="D46" s="111"/>
      <c r="F46" s="95"/>
      <c r="G46" s="96"/>
    </row>
    <row r="47" spans="1:7">
      <c r="A47" s="98"/>
      <c r="B47" s="99"/>
      <c r="C47" s="100"/>
    </row>
    <row r="48" spans="1:7">
      <c r="A48" s="101"/>
      <c r="B48" s="102"/>
      <c r="F48" s="90"/>
    </row>
    <row r="49" spans="1:6">
      <c r="A49" s="101"/>
      <c r="D49" s="90"/>
      <c r="F49" s="103"/>
    </row>
    <row r="50" spans="1:6">
      <c r="A50" s="101"/>
      <c r="D50" s="168" t="s">
        <v>40</v>
      </c>
      <c r="E50" s="168"/>
      <c r="F50" s="103"/>
    </row>
    <row r="51" spans="1:6">
      <c r="A51" s="101"/>
      <c r="D51" s="104" t="s">
        <v>41</v>
      </c>
      <c r="E51" s="105">
        <f>SUM(F4:F46)</f>
        <v>0</v>
      </c>
      <c r="F51" s="103"/>
    </row>
    <row r="52" spans="1:6">
      <c r="A52" s="101"/>
      <c r="D52" s="104" t="s">
        <v>42</v>
      </c>
      <c r="E52" s="106">
        <f>E51/20</f>
        <v>0</v>
      </c>
      <c r="F52" s="103"/>
    </row>
  </sheetData>
  <mergeCells count="7">
    <mergeCell ref="G2:G3"/>
    <mergeCell ref="F2:F3"/>
    <mergeCell ref="B2:B3"/>
    <mergeCell ref="C2:C3"/>
    <mergeCell ref="D2:D3"/>
    <mergeCell ref="A2:A3"/>
    <mergeCell ref="D50:E50"/>
  </mergeCells>
  <pageMargins left="0.7" right="0.7" top="0.75" bottom="0.75" header="0.3" footer="0.3"/>
  <pageSetup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6"/>
  <sheetViews>
    <sheetView tabSelected="1" workbookViewId="0">
      <selection activeCell="G112" sqref="G112"/>
    </sheetView>
  </sheetViews>
  <sheetFormatPr defaultRowHeight="15"/>
  <cols>
    <col min="1" max="1" width="15.7109375" bestFit="1" customWidth="1"/>
    <col min="2" max="2" width="13.42578125" customWidth="1"/>
    <col min="3" max="3" width="19.7109375" bestFit="1" customWidth="1"/>
    <col min="4" max="4" width="11.140625" bestFit="1" customWidth="1"/>
    <col min="5" max="5" width="16.85546875" bestFit="1" customWidth="1"/>
    <col min="6" max="6" width="11.7109375" customWidth="1"/>
    <col min="7" max="7" width="41.140625" customWidth="1"/>
    <col min="8" max="8" width="17.5703125" customWidth="1"/>
    <col min="9" max="9" width="22.5703125" customWidth="1"/>
    <col min="10" max="10" width="15.5703125" customWidth="1"/>
    <col min="11" max="11" width="16" customWidth="1"/>
    <col min="12" max="12" width="12.85546875" customWidth="1"/>
    <col min="13" max="13" width="13" customWidth="1"/>
    <col min="14" max="14" width="14.5703125" customWidth="1"/>
    <col min="15" max="15" width="12.5703125" bestFit="1" customWidth="1"/>
    <col min="16" max="16" width="11.7109375" bestFit="1" customWidth="1"/>
    <col min="16384" max="16384" width="9.140625" bestFit="1" customWidth="1"/>
  </cols>
  <sheetData>
    <row r="1" spans="1:16">
      <c r="A1" s="20" t="s">
        <v>18</v>
      </c>
      <c r="B1" s="22" t="s">
        <v>43</v>
      </c>
      <c r="C1" s="25" t="s">
        <v>44</v>
      </c>
      <c r="D1" s="28" t="s">
        <v>45</v>
      </c>
      <c r="E1" s="6" t="s">
        <v>46</v>
      </c>
      <c r="F1" s="1" t="s">
        <v>47</v>
      </c>
      <c r="G1" s="2" t="s">
        <v>48</v>
      </c>
      <c r="H1" s="3" t="s">
        <v>49</v>
      </c>
      <c r="I1" s="3" t="s">
        <v>50</v>
      </c>
      <c r="J1" s="14" t="s">
        <v>51</v>
      </c>
      <c r="K1" s="14" t="s">
        <v>52</v>
      </c>
      <c r="L1" s="11" t="s">
        <v>53</v>
      </c>
      <c r="M1" s="11" t="s">
        <v>54</v>
      </c>
      <c r="N1" s="11" t="s">
        <v>55</v>
      </c>
      <c r="O1" s="12" t="s">
        <v>56</v>
      </c>
      <c r="P1" s="12" t="s">
        <v>57</v>
      </c>
    </row>
    <row r="2" spans="1:16" ht="18.75">
      <c r="A2" s="21" t="s">
        <v>58</v>
      </c>
      <c r="B2" s="23" t="s">
        <v>58</v>
      </c>
      <c r="C2" s="26" t="s">
        <v>58</v>
      </c>
      <c r="D2" s="29" t="s">
        <v>58</v>
      </c>
      <c r="E2" s="30" t="s">
        <v>58</v>
      </c>
      <c r="F2" s="35">
        <v>1</v>
      </c>
      <c r="G2" s="63" t="s">
        <v>59</v>
      </c>
      <c r="H2" s="5">
        <v>45892</v>
      </c>
      <c r="I2" s="8">
        <v>45969</v>
      </c>
      <c r="J2" s="62"/>
      <c r="K2" s="16"/>
      <c r="L2" s="1">
        <f>_xlfn.DAYS(I2,H2)+1</f>
        <v>78</v>
      </c>
      <c r="M2" s="1"/>
      <c r="N2" s="1">
        <f t="shared" ref="N2:N30" si="0">I2-H2+1</f>
        <v>78</v>
      </c>
      <c r="O2" s="13">
        <v>45892</v>
      </c>
      <c r="P2" s="13"/>
    </row>
    <row r="3" spans="1:16">
      <c r="A3" s="21" t="s">
        <v>58</v>
      </c>
      <c r="B3" s="23" t="s">
        <v>58</v>
      </c>
      <c r="C3" s="26" t="s">
        <v>58</v>
      </c>
      <c r="D3" s="29" t="s">
        <v>58</v>
      </c>
      <c r="E3" s="30" t="s">
        <v>58</v>
      </c>
      <c r="F3" s="31" t="s">
        <v>60</v>
      </c>
      <c r="G3" s="34" t="s">
        <v>61</v>
      </c>
      <c r="H3" s="5">
        <v>45892</v>
      </c>
      <c r="I3" s="8">
        <v>45899</v>
      </c>
      <c r="J3" s="62"/>
      <c r="K3" s="16"/>
      <c r="L3" s="1">
        <v>8</v>
      </c>
      <c r="M3" s="1"/>
      <c r="N3" s="1">
        <f t="shared" si="0"/>
        <v>8</v>
      </c>
      <c r="O3" s="13">
        <v>45892</v>
      </c>
      <c r="P3" s="13"/>
    </row>
    <row r="4" spans="1:16">
      <c r="A4" s="21" t="s">
        <v>58</v>
      </c>
      <c r="B4" s="24" t="s">
        <v>58</v>
      </c>
      <c r="C4" s="26" t="s">
        <v>58</v>
      </c>
      <c r="D4" s="29" t="s">
        <v>58</v>
      </c>
      <c r="E4" s="30" t="s">
        <v>58</v>
      </c>
      <c r="F4" s="31" t="s">
        <v>62</v>
      </c>
      <c r="G4" s="34" t="s">
        <v>63</v>
      </c>
      <c r="H4" s="5">
        <v>45892</v>
      </c>
      <c r="I4" s="5">
        <v>45899</v>
      </c>
      <c r="J4" s="62"/>
      <c r="K4" s="16"/>
      <c r="L4" s="1">
        <v>8</v>
      </c>
      <c r="M4" s="1"/>
      <c r="N4" s="1">
        <f t="shared" si="0"/>
        <v>8</v>
      </c>
      <c r="O4" s="13">
        <v>45899</v>
      </c>
      <c r="P4" s="13"/>
    </row>
    <row r="5" spans="1:16">
      <c r="A5" s="21" t="s">
        <v>58</v>
      </c>
      <c r="B5" s="23" t="s">
        <v>58</v>
      </c>
      <c r="C5" s="27" t="s">
        <v>58</v>
      </c>
      <c r="D5" s="29" t="s">
        <v>58</v>
      </c>
      <c r="E5" s="30" t="s">
        <v>58</v>
      </c>
      <c r="F5" s="31" t="s">
        <v>64</v>
      </c>
      <c r="G5" s="34" t="s">
        <v>65</v>
      </c>
      <c r="H5" s="5">
        <v>45892</v>
      </c>
      <c r="I5" s="5">
        <v>45969</v>
      </c>
      <c r="J5" s="62"/>
      <c r="K5" s="16"/>
      <c r="L5" s="1">
        <f>_xlfn.DAYS(I5,H5)+1</f>
        <v>78</v>
      </c>
      <c r="M5" s="1"/>
      <c r="N5" s="1">
        <f t="shared" si="0"/>
        <v>78</v>
      </c>
      <c r="O5" s="13"/>
      <c r="P5" s="13"/>
    </row>
    <row r="6" spans="1:16" ht="18.75">
      <c r="A6" s="21" t="s">
        <v>58</v>
      </c>
      <c r="B6" s="24" t="s">
        <v>58</v>
      </c>
      <c r="C6" s="26" t="s">
        <v>58</v>
      </c>
      <c r="D6" s="29" t="s">
        <v>58</v>
      </c>
      <c r="E6" s="30" t="s">
        <v>58</v>
      </c>
      <c r="F6" s="35">
        <v>2</v>
      </c>
      <c r="G6" s="63" t="s">
        <v>66</v>
      </c>
      <c r="H6" s="5">
        <v>45892</v>
      </c>
      <c r="I6" s="5">
        <v>45969</v>
      </c>
      <c r="J6" s="62"/>
      <c r="K6" s="16"/>
      <c r="L6" s="1">
        <f>_xlfn.DAYS(I6,H6)+1</f>
        <v>78</v>
      </c>
      <c r="M6" s="1"/>
      <c r="N6" s="1">
        <f t="shared" si="0"/>
        <v>78</v>
      </c>
      <c r="O6" s="13"/>
      <c r="P6" s="13"/>
    </row>
    <row r="7" spans="1:16">
      <c r="A7" s="17"/>
      <c r="B7" s="17"/>
      <c r="C7" s="17"/>
      <c r="D7" s="17"/>
      <c r="E7" s="18"/>
      <c r="F7" s="31" t="s">
        <v>67</v>
      </c>
      <c r="G7" s="34" t="s">
        <v>68</v>
      </c>
      <c r="H7" s="5">
        <v>45913</v>
      </c>
      <c r="I7" s="5">
        <v>45915</v>
      </c>
      <c r="J7" s="62"/>
      <c r="K7" s="16"/>
      <c r="L7" s="1">
        <v>3</v>
      </c>
      <c r="M7" s="1"/>
      <c r="N7" s="1">
        <f t="shared" si="0"/>
        <v>3</v>
      </c>
      <c r="O7" s="13"/>
      <c r="P7" s="13"/>
    </row>
    <row r="8" spans="1:16" ht="16.5" customHeight="1">
      <c r="A8" s="19"/>
      <c r="B8" s="17"/>
      <c r="C8" s="17"/>
      <c r="D8" s="17"/>
      <c r="E8" s="18"/>
      <c r="F8" s="31" t="s">
        <v>69</v>
      </c>
      <c r="G8" s="34" t="s">
        <v>70</v>
      </c>
      <c r="H8" s="5">
        <v>45913</v>
      </c>
      <c r="I8" s="5">
        <v>45918</v>
      </c>
      <c r="J8" s="62">
        <v>12</v>
      </c>
      <c r="K8" s="16"/>
      <c r="L8" s="1">
        <v>6</v>
      </c>
      <c r="M8" s="1">
        <v>6</v>
      </c>
      <c r="N8" s="1">
        <f t="shared" si="0"/>
        <v>6</v>
      </c>
      <c r="O8" s="13"/>
      <c r="P8" s="13"/>
    </row>
    <row r="9" spans="1:16">
      <c r="A9" s="19"/>
      <c r="B9" s="19"/>
      <c r="C9" s="19"/>
      <c r="D9" s="19"/>
      <c r="E9" s="18"/>
      <c r="F9" s="31" t="s">
        <v>71</v>
      </c>
      <c r="G9" s="34" t="s">
        <v>72</v>
      </c>
      <c r="H9" s="5">
        <v>45913</v>
      </c>
      <c r="I9" s="5">
        <v>45914</v>
      </c>
      <c r="J9" s="62">
        <v>4</v>
      </c>
      <c r="K9" s="16"/>
      <c r="L9" s="1">
        <v>2</v>
      </c>
      <c r="M9" s="1">
        <v>6</v>
      </c>
      <c r="N9" s="1">
        <f t="shared" si="0"/>
        <v>2</v>
      </c>
      <c r="O9" s="13"/>
      <c r="P9" s="13"/>
    </row>
    <row r="10" spans="1:16">
      <c r="A10" s="19"/>
      <c r="B10" s="19"/>
      <c r="C10" s="19"/>
      <c r="D10" s="19"/>
      <c r="E10" s="18"/>
      <c r="F10" s="31" t="s">
        <v>73</v>
      </c>
      <c r="G10" s="34" t="s">
        <v>74</v>
      </c>
      <c r="H10" s="5">
        <v>45914</v>
      </c>
      <c r="I10" s="5">
        <v>45918</v>
      </c>
      <c r="J10" s="62">
        <v>4</v>
      </c>
      <c r="K10" s="16"/>
      <c r="L10" s="1">
        <v>5</v>
      </c>
      <c r="M10" s="1">
        <v>7.1</v>
      </c>
      <c r="N10" s="1">
        <f t="shared" si="0"/>
        <v>5</v>
      </c>
      <c r="O10" s="13"/>
      <c r="P10" s="13"/>
    </row>
    <row r="11" spans="1:16">
      <c r="A11" s="19"/>
      <c r="B11" s="19"/>
      <c r="C11" s="19"/>
      <c r="D11" s="19"/>
      <c r="E11" s="18"/>
      <c r="F11" s="31" t="s">
        <v>75</v>
      </c>
      <c r="G11" s="34" t="s">
        <v>76</v>
      </c>
      <c r="H11" s="5">
        <v>45920</v>
      </c>
      <c r="I11" s="5">
        <v>45923</v>
      </c>
      <c r="J11" s="62"/>
      <c r="K11" s="16"/>
      <c r="L11" s="1">
        <v>4</v>
      </c>
      <c r="M11" s="1">
        <v>7</v>
      </c>
      <c r="N11" s="1">
        <f t="shared" si="0"/>
        <v>4</v>
      </c>
      <c r="O11" s="13"/>
      <c r="P11" s="13"/>
    </row>
    <row r="12" spans="1:16">
      <c r="A12" s="19"/>
      <c r="B12" s="19"/>
      <c r="C12" s="19"/>
      <c r="D12" s="19"/>
      <c r="E12" s="18"/>
      <c r="F12" s="31" t="s">
        <v>77</v>
      </c>
      <c r="G12" s="34" t="s">
        <v>78</v>
      </c>
      <c r="H12" s="5">
        <v>45920</v>
      </c>
      <c r="I12" s="5">
        <v>45923</v>
      </c>
      <c r="J12" s="62"/>
      <c r="K12" s="16"/>
      <c r="L12" s="1">
        <v>4</v>
      </c>
      <c r="M12" s="1">
        <v>7</v>
      </c>
      <c r="N12" s="1">
        <f t="shared" si="0"/>
        <v>4</v>
      </c>
      <c r="O12" s="13"/>
      <c r="P12" s="13"/>
    </row>
    <row r="13" spans="1:16" ht="18.75">
      <c r="A13" s="19"/>
      <c r="B13" s="19"/>
      <c r="C13" s="19"/>
      <c r="D13" s="19"/>
      <c r="E13" s="18"/>
      <c r="F13" s="35">
        <v>3</v>
      </c>
      <c r="G13" s="63" t="s">
        <v>79</v>
      </c>
      <c r="H13" s="5">
        <v>45920</v>
      </c>
      <c r="I13" s="5">
        <v>45923</v>
      </c>
      <c r="J13" s="62"/>
      <c r="K13" s="16"/>
      <c r="L13" s="1">
        <v>4</v>
      </c>
      <c r="M13" s="1">
        <v>8.1</v>
      </c>
      <c r="N13" s="1">
        <f t="shared" si="0"/>
        <v>4</v>
      </c>
      <c r="O13" s="13"/>
      <c r="P13" s="13"/>
    </row>
    <row r="14" spans="1:16" ht="15.75">
      <c r="A14" s="19"/>
      <c r="B14" s="19"/>
      <c r="C14" s="19"/>
      <c r="D14" s="19"/>
      <c r="E14" s="18"/>
      <c r="F14" s="32" t="s">
        <v>80</v>
      </c>
      <c r="G14" s="64" t="s">
        <v>81</v>
      </c>
      <c r="H14" s="8">
        <v>45920</v>
      </c>
      <c r="I14" s="10">
        <v>45924</v>
      </c>
      <c r="J14" s="62"/>
      <c r="K14" s="16"/>
      <c r="L14" s="1">
        <v>5</v>
      </c>
      <c r="M14" s="1">
        <v>8</v>
      </c>
      <c r="N14" s="1">
        <f t="shared" si="0"/>
        <v>5</v>
      </c>
      <c r="O14" s="13"/>
      <c r="P14" s="13"/>
    </row>
    <row r="15" spans="1:16">
      <c r="A15" s="19"/>
      <c r="B15" s="19"/>
      <c r="C15" s="19"/>
      <c r="D15" s="19"/>
      <c r="E15" s="18"/>
      <c r="F15" s="31" t="s">
        <v>82</v>
      </c>
      <c r="G15" s="33" t="s">
        <v>83</v>
      </c>
      <c r="H15" s="9">
        <v>45920</v>
      </c>
      <c r="I15" s="7">
        <v>45924</v>
      </c>
      <c r="J15" s="62"/>
      <c r="K15" s="16"/>
      <c r="L15" s="1">
        <v>5</v>
      </c>
      <c r="M15" s="1">
        <v>8</v>
      </c>
      <c r="N15" s="1">
        <f t="shared" si="0"/>
        <v>5</v>
      </c>
      <c r="O15" s="13"/>
      <c r="P15" s="13"/>
    </row>
    <row r="16" spans="1:16">
      <c r="A16" s="19"/>
      <c r="B16" s="19"/>
      <c r="C16" s="19"/>
      <c r="D16" s="19"/>
      <c r="E16" s="18"/>
      <c r="F16" s="31" t="s">
        <v>84</v>
      </c>
      <c r="G16" s="64" t="s">
        <v>85</v>
      </c>
      <c r="H16" s="9">
        <v>45920</v>
      </c>
      <c r="I16" s="7">
        <v>45924</v>
      </c>
      <c r="J16" s="62"/>
      <c r="K16" s="16"/>
      <c r="L16" s="1">
        <v>5</v>
      </c>
      <c r="M16" s="1">
        <v>9.1</v>
      </c>
      <c r="N16" s="1">
        <f t="shared" si="0"/>
        <v>5</v>
      </c>
      <c r="O16" s="13"/>
      <c r="P16" s="13"/>
    </row>
    <row r="17" spans="1:16">
      <c r="A17" s="19" t="s">
        <v>86</v>
      </c>
      <c r="B17" s="19"/>
      <c r="C17" s="19"/>
      <c r="D17" s="19"/>
      <c r="E17" s="18"/>
      <c r="F17" s="31" t="s">
        <v>87</v>
      </c>
      <c r="G17" s="64" t="s">
        <v>88</v>
      </c>
      <c r="H17" s="9">
        <v>45921</v>
      </c>
      <c r="I17" s="7">
        <v>45923</v>
      </c>
      <c r="J17" s="62"/>
      <c r="K17" s="16"/>
      <c r="L17" s="1">
        <v>3</v>
      </c>
      <c r="M17" s="1">
        <v>9.1</v>
      </c>
      <c r="N17" s="1">
        <f t="shared" si="0"/>
        <v>3</v>
      </c>
      <c r="O17" s="13"/>
      <c r="P17" s="13"/>
    </row>
    <row r="18" spans="1:16">
      <c r="A18" s="19"/>
      <c r="B18" s="19"/>
      <c r="C18" s="19"/>
      <c r="D18" s="19"/>
      <c r="E18" s="18"/>
      <c r="F18" s="4" t="s">
        <v>89</v>
      </c>
      <c r="G18" s="33" t="s">
        <v>90</v>
      </c>
      <c r="H18" s="9">
        <v>45921</v>
      </c>
      <c r="I18" s="7">
        <v>45924</v>
      </c>
      <c r="J18" s="62"/>
      <c r="K18" s="16"/>
      <c r="L18" s="1">
        <v>3</v>
      </c>
      <c r="M18" s="1">
        <v>8.1</v>
      </c>
      <c r="N18" s="1">
        <f t="shared" si="0"/>
        <v>4</v>
      </c>
      <c r="O18" s="13"/>
      <c r="P18" s="13"/>
    </row>
    <row r="19" spans="1:16">
      <c r="A19" s="19"/>
      <c r="B19" s="19"/>
      <c r="C19" s="19"/>
      <c r="D19" s="19"/>
      <c r="E19" s="18"/>
      <c r="F19" s="4" t="s">
        <v>91</v>
      </c>
      <c r="G19" s="33" t="s">
        <v>92</v>
      </c>
      <c r="H19" s="9">
        <v>45917</v>
      </c>
      <c r="I19" s="7">
        <v>45926</v>
      </c>
      <c r="J19" s="62"/>
      <c r="K19" s="16"/>
      <c r="L19" s="1">
        <v>10</v>
      </c>
      <c r="M19" s="1">
        <v>7</v>
      </c>
      <c r="N19" s="1">
        <f t="shared" si="0"/>
        <v>10</v>
      </c>
      <c r="O19" s="13"/>
      <c r="P19" s="13"/>
    </row>
    <row r="20" spans="1:16">
      <c r="A20" s="19"/>
      <c r="B20" s="19"/>
      <c r="C20" s="19"/>
      <c r="D20" s="19"/>
      <c r="E20" s="18"/>
      <c r="F20" s="4" t="s">
        <v>93</v>
      </c>
      <c r="G20" s="33" t="s">
        <v>94</v>
      </c>
      <c r="H20" s="9">
        <v>45917</v>
      </c>
      <c r="I20" s="7">
        <v>45917</v>
      </c>
      <c r="J20" s="62"/>
      <c r="K20" s="16"/>
      <c r="L20" s="1">
        <v>1</v>
      </c>
      <c r="M20" s="1">
        <v>7</v>
      </c>
      <c r="N20" s="1">
        <f t="shared" si="0"/>
        <v>1</v>
      </c>
      <c r="O20" s="13"/>
      <c r="P20" s="13"/>
    </row>
    <row r="21" spans="1:16">
      <c r="A21" s="19"/>
      <c r="B21" s="19"/>
      <c r="C21" s="19"/>
      <c r="D21" s="19"/>
      <c r="E21" s="18"/>
      <c r="F21" s="31" t="s">
        <v>95</v>
      </c>
      <c r="G21" s="64" t="s">
        <v>96</v>
      </c>
      <c r="H21" s="9">
        <v>45917</v>
      </c>
      <c r="I21" s="7">
        <v>45917</v>
      </c>
      <c r="J21" s="62"/>
      <c r="K21" s="16"/>
      <c r="L21" s="1">
        <v>1</v>
      </c>
      <c r="M21" s="1">
        <v>10.1</v>
      </c>
      <c r="N21" s="1">
        <f t="shared" si="0"/>
        <v>1</v>
      </c>
      <c r="O21" s="13"/>
      <c r="P21" s="13"/>
    </row>
    <row r="22" spans="1:16">
      <c r="A22" s="19"/>
      <c r="B22" s="19"/>
      <c r="C22" s="19"/>
      <c r="D22" s="19"/>
      <c r="E22" s="18"/>
      <c r="F22" s="4" t="s">
        <v>97</v>
      </c>
      <c r="G22" s="33" t="s">
        <v>90</v>
      </c>
      <c r="H22" s="9">
        <v>45917</v>
      </c>
      <c r="I22" s="7">
        <v>45922</v>
      </c>
      <c r="J22" s="62"/>
      <c r="K22" s="16"/>
      <c r="L22" s="1">
        <v>6</v>
      </c>
      <c r="M22" s="1">
        <v>10.199999999999999</v>
      </c>
      <c r="N22" s="1">
        <f t="shared" si="0"/>
        <v>6</v>
      </c>
      <c r="O22" s="13"/>
      <c r="P22" s="13"/>
    </row>
    <row r="23" spans="1:16">
      <c r="A23" s="19"/>
      <c r="B23" s="19"/>
      <c r="C23" s="19"/>
      <c r="D23" s="19"/>
      <c r="E23" s="18"/>
      <c r="F23" s="4" t="s">
        <v>98</v>
      </c>
      <c r="G23" s="33" t="s">
        <v>92</v>
      </c>
      <c r="H23" s="9">
        <v>45917</v>
      </c>
      <c r="I23" s="7">
        <v>45922</v>
      </c>
      <c r="J23" s="62"/>
      <c r="K23" s="16"/>
      <c r="L23" s="1">
        <v>6</v>
      </c>
      <c r="M23" s="1">
        <v>10.3</v>
      </c>
      <c r="N23" s="1">
        <f t="shared" si="0"/>
        <v>6</v>
      </c>
      <c r="O23" s="13"/>
      <c r="P23" s="13"/>
    </row>
    <row r="24" spans="1:16">
      <c r="A24" s="19"/>
      <c r="B24" s="19"/>
      <c r="C24" s="19"/>
      <c r="D24" s="19"/>
      <c r="E24" s="18"/>
      <c r="F24" s="4" t="s">
        <v>99</v>
      </c>
      <c r="G24" s="33" t="s">
        <v>94</v>
      </c>
      <c r="H24" s="9">
        <v>45917</v>
      </c>
      <c r="I24" s="7">
        <v>45924</v>
      </c>
      <c r="J24" s="62"/>
      <c r="K24" s="16"/>
      <c r="L24" s="1">
        <v>8</v>
      </c>
      <c r="M24" s="1">
        <v>10.3</v>
      </c>
      <c r="N24" s="1">
        <f t="shared" si="0"/>
        <v>8</v>
      </c>
      <c r="O24" s="13"/>
      <c r="P24" s="13"/>
    </row>
    <row r="25" spans="1:16">
      <c r="A25" s="19"/>
      <c r="B25" s="19"/>
      <c r="C25" s="19"/>
      <c r="D25" s="19"/>
      <c r="E25" s="18"/>
      <c r="F25" s="4" t="s">
        <v>100</v>
      </c>
      <c r="G25" s="33" t="s">
        <v>101</v>
      </c>
      <c r="H25" s="9">
        <v>45926</v>
      </c>
      <c r="I25" s="7">
        <v>45934</v>
      </c>
      <c r="J25" s="62"/>
      <c r="K25" s="16"/>
      <c r="L25" s="1">
        <f t="shared" ref="L25:L30" si="1">_xlfn.DAYS(I25,H25)+1</f>
        <v>9</v>
      </c>
      <c r="M25" s="1">
        <v>10</v>
      </c>
      <c r="N25" s="1">
        <f t="shared" si="0"/>
        <v>9</v>
      </c>
      <c r="O25" s="13"/>
      <c r="P25" s="13"/>
    </row>
    <row r="26" spans="1:16">
      <c r="A26" s="19"/>
      <c r="B26" s="19"/>
      <c r="C26" s="19"/>
      <c r="D26" s="19"/>
      <c r="E26" s="18"/>
      <c r="F26" s="31" t="s">
        <v>102</v>
      </c>
      <c r="G26" s="64" t="s">
        <v>103</v>
      </c>
      <c r="H26" s="9">
        <v>45928</v>
      </c>
      <c r="I26" s="7">
        <v>45931</v>
      </c>
      <c r="J26" s="62"/>
      <c r="K26" s="16"/>
      <c r="L26" s="1">
        <f t="shared" si="1"/>
        <v>4</v>
      </c>
      <c r="M26" s="1">
        <v>10.4</v>
      </c>
      <c r="N26" s="1">
        <f t="shared" si="0"/>
        <v>4</v>
      </c>
      <c r="O26" s="13"/>
      <c r="P26" s="13"/>
    </row>
    <row r="27" spans="1:16">
      <c r="A27" s="19"/>
      <c r="B27" s="19"/>
      <c r="C27" s="19"/>
      <c r="D27" s="19"/>
      <c r="E27" s="18"/>
      <c r="F27" s="4" t="s">
        <v>104</v>
      </c>
      <c r="G27" s="33" t="s">
        <v>90</v>
      </c>
      <c r="H27" s="9">
        <v>45926</v>
      </c>
      <c r="I27" s="7">
        <v>45928</v>
      </c>
      <c r="J27" s="62"/>
      <c r="K27" s="16"/>
      <c r="L27" s="1">
        <f t="shared" si="1"/>
        <v>3</v>
      </c>
      <c r="M27" s="1">
        <v>10.199999999999999</v>
      </c>
      <c r="N27" s="1">
        <f t="shared" si="0"/>
        <v>3</v>
      </c>
      <c r="O27" s="13"/>
      <c r="P27" s="13"/>
    </row>
    <row r="28" spans="1:16">
      <c r="A28" s="19"/>
      <c r="B28" s="19"/>
      <c r="C28" s="19"/>
      <c r="D28" s="19"/>
      <c r="E28" s="18"/>
      <c r="F28" s="4" t="s">
        <v>105</v>
      </c>
      <c r="G28" s="33" t="s">
        <v>92</v>
      </c>
      <c r="H28" s="9">
        <v>45928</v>
      </c>
      <c r="I28" s="7">
        <v>45929</v>
      </c>
      <c r="J28" s="62"/>
      <c r="K28" s="16"/>
      <c r="L28" s="1">
        <f t="shared" si="1"/>
        <v>2</v>
      </c>
      <c r="M28" s="1">
        <v>10.1</v>
      </c>
      <c r="N28" s="1">
        <f t="shared" si="0"/>
        <v>2</v>
      </c>
      <c r="O28" s="13"/>
      <c r="P28" s="13"/>
    </row>
    <row r="29" spans="1:16">
      <c r="A29" s="19"/>
      <c r="B29" s="19"/>
      <c r="C29" s="19"/>
      <c r="D29" s="19"/>
      <c r="E29" s="18"/>
      <c r="F29" s="4" t="s">
        <v>106</v>
      </c>
      <c r="G29" s="33" t="s">
        <v>94</v>
      </c>
      <c r="H29" s="9">
        <v>45929</v>
      </c>
      <c r="I29" s="7">
        <v>45933</v>
      </c>
      <c r="J29" s="62"/>
      <c r="K29" s="16"/>
      <c r="L29" s="1">
        <f t="shared" si="1"/>
        <v>5</v>
      </c>
      <c r="M29" s="1">
        <v>10.4</v>
      </c>
      <c r="N29" s="1">
        <f t="shared" si="0"/>
        <v>5</v>
      </c>
      <c r="O29" s="13"/>
      <c r="P29" s="13"/>
    </row>
    <row r="30" spans="1:16">
      <c r="A30" s="18"/>
      <c r="B30" s="18"/>
      <c r="C30" s="18"/>
      <c r="D30" s="18"/>
      <c r="E30" s="18"/>
      <c r="F30" s="4" t="s">
        <v>107</v>
      </c>
      <c r="G30" s="33" t="s">
        <v>108</v>
      </c>
      <c r="H30" s="9">
        <v>45929</v>
      </c>
      <c r="I30" s="7">
        <v>45934</v>
      </c>
      <c r="J30" s="62"/>
      <c r="K30" s="16"/>
      <c r="L30" s="1">
        <f t="shared" si="1"/>
        <v>6</v>
      </c>
      <c r="M30" s="1">
        <v>10.199999999999999</v>
      </c>
      <c r="N30" s="1">
        <f t="shared" si="0"/>
        <v>6</v>
      </c>
      <c r="O30" s="13"/>
      <c r="P30" s="13"/>
    </row>
    <row r="31" spans="1:16">
      <c r="A31" s="18" t="s">
        <v>86</v>
      </c>
      <c r="B31" s="18"/>
      <c r="C31" s="18"/>
      <c r="D31" s="18"/>
      <c r="E31" s="18"/>
      <c r="F31" s="4" t="s">
        <v>109</v>
      </c>
      <c r="G31" s="120" t="s">
        <v>110</v>
      </c>
      <c r="H31" s="68"/>
      <c r="I31" s="69"/>
      <c r="J31" s="15"/>
      <c r="K31" s="16"/>
      <c r="L31" s="1"/>
      <c r="M31" s="1"/>
      <c r="N31" s="1"/>
      <c r="O31" s="13"/>
      <c r="P31" s="13"/>
    </row>
    <row r="32" spans="1:16">
      <c r="A32" s="18"/>
      <c r="B32" s="18"/>
      <c r="C32" s="18"/>
      <c r="D32" s="18"/>
      <c r="E32" s="18"/>
      <c r="F32" s="31" t="s">
        <v>111</v>
      </c>
      <c r="G32" s="64" t="s">
        <v>112</v>
      </c>
      <c r="H32" s="68"/>
      <c r="I32" s="69"/>
      <c r="J32" s="15"/>
      <c r="K32" s="16"/>
      <c r="L32" s="1"/>
      <c r="M32" s="1"/>
      <c r="N32" s="1"/>
      <c r="O32" s="13"/>
      <c r="P32" s="13"/>
    </row>
    <row r="33" spans="1:16">
      <c r="A33" s="18"/>
      <c r="B33" s="18"/>
      <c r="C33" s="18"/>
      <c r="D33" s="18"/>
      <c r="E33" s="18"/>
      <c r="F33" s="4" t="s">
        <v>113</v>
      </c>
      <c r="G33" s="65" t="s">
        <v>114</v>
      </c>
      <c r="H33" s="68"/>
      <c r="I33" s="69"/>
      <c r="J33" s="15"/>
      <c r="K33" s="16"/>
      <c r="L33" s="1"/>
      <c r="M33" s="1"/>
      <c r="N33" s="1"/>
      <c r="O33" s="13"/>
      <c r="P33" s="13"/>
    </row>
    <row r="34" spans="1:16">
      <c r="A34" s="18"/>
      <c r="B34" s="18"/>
      <c r="C34" s="18"/>
      <c r="D34" s="18"/>
      <c r="E34" s="18"/>
      <c r="F34" s="4" t="s">
        <v>115</v>
      </c>
      <c r="G34" s="66" t="s">
        <v>116</v>
      </c>
      <c r="H34" s="68"/>
      <c r="I34" s="69"/>
      <c r="J34" s="15"/>
      <c r="K34" s="16"/>
      <c r="L34" s="1"/>
      <c r="M34" s="1"/>
      <c r="N34" s="1"/>
      <c r="O34" s="13"/>
      <c r="P34" s="13"/>
    </row>
    <row r="35" spans="1:16">
      <c r="A35" s="18"/>
      <c r="B35" s="18"/>
      <c r="C35" s="18"/>
      <c r="D35" s="18"/>
      <c r="E35" s="18"/>
      <c r="F35" s="4" t="s">
        <v>117</v>
      </c>
      <c r="G35" s="67" t="s">
        <v>118</v>
      </c>
      <c r="H35" s="68"/>
      <c r="I35" s="69"/>
      <c r="J35" s="15"/>
      <c r="K35" s="16"/>
      <c r="L35" s="1"/>
      <c r="M35" s="1"/>
      <c r="N35" s="1"/>
      <c r="O35" s="13"/>
      <c r="P35" s="13"/>
    </row>
    <row r="36" spans="1:16">
      <c r="A36" s="18"/>
      <c r="B36" s="18"/>
      <c r="C36" s="18"/>
      <c r="D36" s="18"/>
      <c r="E36" s="18"/>
      <c r="F36" s="4" t="s">
        <v>119</v>
      </c>
      <c r="G36" s="67" t="s">
        <v>120</v>
      </c>
      <c r="H36" s="68"/>
      <c r="I36" s="69"/>
      <c r="J36" s="15"/>
      <c r="K36" s="16"/>
      <c r="L36" s="1"/>
      <c r="M36" s="1"/>
      <c r="N36" s="1"/>
      <c r="O36" s="13"/>
      <c r="P36" s="13"/>
    </row>
    <row r="37" spans="1:16">
      <c r="F37" s="4" t="s">
        <v>121</v>
      </c>
      <c r="G37" s="67" t="s">
        <v>122</v>
      </c>
      <c r="H37" s="68"/>
      <c r="I37" s="69"/>
      <c r="J37" s="15"/>
      <c r="K37" s="16"/>
      <c r="L37" s="1"/>
      <c r="M37" s="1"/>
      <c r="N37" s="1"/>
      <c r="O37" s="13"/>
      <c r="P37" s="13"/>
    </row>
    <row r="38" spans="1:16">
      <c r="F38" s="4" t="s">
        <v>123</v>
      </c>
      <c r="G38" s="70" t="s">
        <v>124</v>
      </c>
      <c r="H38" s="68"/>
      <c r="I38" s="69"/>
      <c r="J38" s="15"/>
      <c r="K38" s="16"/>
      <c r="L38" s="1"/>
      <c r="M38" s="1"/>
      <c r="N38" s="1"/>
      <c r="O38" s="13"/>
      <c r="P38" s="13"/>
    </row>
    <row r="39" spans="1:16">
      <c r="F39" s="4" t="s">
        <v>125</v>
      </c>
      <c r="G39" s="67" t="s">
        <v>118</v>
      </c>
      <c r="H39" s="71"/>
      <c r="I39" s="72"/>
      <c r="J39" s="15"/>
      <c r="K39" s="16"/>
      <c r="L39" s="1"/>
      <c r="M39" s="1"/>
      <c r="N39" s="1"/>
      <c r="O39" s="13"/>
      <c r="P39" s="13"/>
    </row>
    <row r="40" spans="1:16">
      <c r="F40" s="4" t="s">
        <v>126</v>
      </c>
      <c r="G40" s="67" t="s">
        <v>127</v>
      </c>
      <c r="H40" s="71"/>
      <c r="I40" s="72"/>
      <c r="J40" s="15"/>
      <c r="K40" s="16"/>
      <c r="L40" s="1"/>
      <c r="M40" s="1"/>
      <c r="N40" s="1"/>
      <c r="O40" s="13"/>
      <c r="P40" s="13"/>
    </row>
    <row r="41" spans="1:16">
      <c r="F41" s="4" t="s">
        <v>128</v>
      </c>
      <c r="G41" s="67" t="s">
        <v>129</v>
      </c>
      <c r="H41" s="71"/>
      <c r="I41" s="72"/>
      <c r="J41" s="15"/>
      <c r="K41" s="16"/>
      <c r="L41" s="1"/>
      <c r="M41" s="1"/>
      <c r="N41" s="1"/>
      <c r="O41" s="13"/>
      <c r="P41" s="13"/>
    </row>
    <row r="42" spans="1:16">
      <c r="F42" s="4" t="s">
        <v>130</v>
      </c>
      <c r="G42" s="66" t="s">
        <v>131</v>
      </c>
      <c r="H42" s="71"/>
      <c r="I42" s="72"/>
      <c r="J42" s="15"/>
      <c r="K42" s="16"/>
      <c r="L42" s="1"/>
      <c r="M42" s="1"/>
      <c r="N42" s="1"/>
      <c r="O42" s="13"/>
      <c r="P42" s="13"/>
    </row>
    <row r="43" spans="1:16">
      <c r="F43" s="4" t="s">
        <v>132</v>
      </c>
      <c r="G43" s="67" t="s">
        <v>118</v>
      </c>
      <c r="H43" s="9"/>
      <c r="I43" s="7"/>
      <c r="J43" s="62"/>
      <c r="K43" s="16"/>
      <c r="L43" s="1"/>
      <c r="M43" s="1"/>
      <c r="N43" s="1"/>
      <c r="O43" s="13"/>
      <c r="P43" s="13"/>
    </row>
    <row r="44" spans="1:16" ht="26.25">
      <c r="F44" s="4" t="s">
        <v>133</v>
      </c>
      <c r="G44" s="67" t="s">
        <v>134</v>
      </c>
      <c r="H44" s="9"/>
      <c r="I44" s="7"/>
      <c r="J44" s="62"/>
      <c r="K44" s="16"/>
      <c r="L44" s="1"/>
      <c r="M44" s="1"/>
      <c r="N44" s="1"/>
      <c r="O44" s="13"/>
      <c r="P44" s="13"/>
    </row>
    <row r="45" spans="1:16" ht="26.25">
      <c r="F45" s="4" t="s">
        <v>135</v>
      </c>
      <c r="G45" s="67" t="s">
        <v>136</v>
      </c>
      <c r="H45" s="68"/>
      <c r="I45" s="69"/>
      <c r="J45" s="15"/>
      <c r="K45" s="16"/>
      <c r="L45" s="1"/>
      <c r="M45" s="1"/>
      <c r="N45" s="1"/>
      <c r="O45" s="13"/>
      <c r="P45" s="13"/>
    </row>
    <row r="46" spans="1:16">
      <c r="F46" s="4" t="s">
        <v>137</v>
      </c>
      <c r="G46" s="70" t="s">
        <v>138</v>
      </c>
      <c r="H46" s="68"/>
      <c r="I46" s="69"/>
      <c r="J46" s="15"/>
      <c r="K46" s="16"/>
      <c r="L46" s="1"/>
      <c r="M46" s="1"/>
      <c r="N46" s="1"/>
      <c r="O46" s="13"/>
      <c r="P46" s="13"/>
    </row>
    <row r="47" spans="1:16">
      <c r="F47" s="4" t="s">
        <v>139</v>
      </c>
      <c r="G47" s="67" t="s">
        <v>118</v>
      </c>
      <c r="H47" s="68"/>
      <c r="I47" s="69"/>
      <c r="J47" s="15"/>
      <c r="K47" s="16"/>
      <c r="L47" s="1"/>
      <c r="M47" s="1"/>
      <c r="N47" s="1"/>
      <c r="O47" s="13"/>
      <c r="P47" s="13"/>
    </row>
    <row r="48" spans="1:16">
      <c r="F48" s="4" t="s">
        <v>140</v>
      </c>
      <c r="G48" s="67" t="s">
        <v>141</v>
      </c>
      <c r="H48" s="68"/>
      <c r="I48" s="69"/>
      <c r="J48" s="15"/>
      <c r="K48" s="16"/>
      <c r="L48" s="1"/>
      <c r="M48" s="1"/>
      <c r="N48" s="1"/>
      <c r="O48" s="13"/>
      <c r="P48" s="13"/>
    </row>
    <row r="49" spans="6:16">
      <c r="F49" s="4" t="s">
        <v>142</v>
      </c>
      <c r="G49" s="67" t="s">
        <v>143</v>
      </c>
      <c r="H49" s="68"/>
      <c r="I49" s="69"/>
      <c r="J49" s="15"/>
      <c r="K49" s="16"/>
      <c r="L49" s="1"/>
      <c r="M49" s="1"/>
      <c r="N49" s="1"/>
      <c r="O49" s="13"/>
      <c r="P49" s="13"/>
    </row>
    <row r="50" spans="6:16">
      <c r="F50" s="4" t="s">
        <v>144</v>
      </c>
      <c r="G50" s="66" t="s">
        <v>145</v>
      </c>
      <c r="H50" s="68"/>
      <c r="I50" s="69"/>
      <c r="J50" s="15"/>
      <c r="K50" s="16"/>
      <c r="L50" s="1"/>
      <c r="M50" s="1"/>
      <c r="N50" s="1"/>
      <c r="O50" s="13"/>
      <c r="P50" s="13"/>
    </row>
    <row r="51" spans="6:16">
      <c r="F51" s="4" t="s">
        <v>146</v>
      </c>
      <c r="G51" s="67" t="s">
        <v>118</v>
      </c>
      <c r="H51" s="68"/>
      <c r="I51" s="69"/>
      <c r="J51" s="15"/>
      <c r="K51" s="16"/>
      <c r="L51" s="1"/>
      <c r="M51" s="1"/>
      <c r="N51" s="1"/>
      <c r="O51" s="13"/>
      <c r="P51" s="13"/>
    </row>
    <row r="52" spans="6:16">
      <c r="F52" s="4" t="s">
        <v>147</v>
      </c>
      <c r="G52" s="67" t="s">
        <v>148</v>
      </c>
      <c r="H52" s="68"/>
      <c r="I52" s="69"/>
      <c r="J52" s="15"/>
      <c r="K52" s="16"/>
      <c r="L52" s="1"/>
      <c r="M52" s="1"/>
      <c r="N52" s="1"/>
      <c r="O52" s="13"/>
      <c r="P52" s="13"/>
    </row>
    <row r="53" spans="6:16">
      <c r="F53" s="4" t="s">
        <v>149</v>
      </c>
      <c r="G53" s="67" t="s">
        <v>150</v>
      </c>
      <c r="H53" s="68"/>
      <c r="I53" s="69"/>
      <c r="J53" s="15"/>
      <c r="K53" s="16"/>
      <c r="L53" s="1"/>
      <c r="M53" s="1"/>
      <c r="N53" s="1"/>
      <c r="O53" s="13"/>
      <c r="P53" s="13"/>
    </row>
    <row r="116" spans="6:16">
      <c r="G116" s="173" t="s">
        <v>181</v>
      </c>
    </row>
    <row r="117" spans="6:16">
      <c r="F117" s="36">
        <v>6</v>
      </c>
      <c r="G117" s="37" t="s">
        <v>151</v>
      </c>
      <c r="H117" s="38">
        <v>45913</v>
      </c>
      <c r="I117" s="38">
        <v>45915</v>
      </c>
      <c r="J117" s="39"/>
      <c r="K117" s="40"/>
      <c r="L117" s="41">
        <v>3</v>
      </c>
      <c r="M117" s="41"/>
      <c r="N117" s="41">
        <f t="shared" ref="N117:N146" si="2">I117-H117+1</f>
        <v>3</v>
      </c>
      <c r="O117" s="42"/>
      <c r="P117" s="43"/>
    </row>
    <row r="118" spans="6:16">
      <c r="F118" s="44">
        <v>7</v>
      </c>
      <c r="G118" s="45" t="s">
        <v>152</v>
      </c>
      <c r="H118" s="46">
        <v>45913</v>
      </c>
      <c r="I118" s="46">
        <v>45918</v>
      </c>
      <c r="J118" s="47">
        <v>12</v>
      </c>
      <c r="K118" s="48"/>
      <c r="L118" s="49">
        <v>6</v>
      </c>
      <c r="M118" s="49">
        <v>6</v>
      </c>
      <c r="N118" s="49">
        <f t="shared" si="2"/>
        <v>6</v>
      </c>
      <c r="O118" s="50"/>
      <c r="P118" s="51"/>
    </row>
    <row r="119" spans="6:16">
      <c r="F119" s="36">
        <v>7.1</v>
      </c>
      <c r="G119" s="52" t="s">
        <v>153</v>
      </c>
      <c r="H119" s="38">
        <v>45913</v>
      </c>
      <c r="I119" s="38">
        <v>45914</v>
      </c>
      <c r="J119" s="39">
        <v>4</v>
      </c>
      <c r="K119" s="40"/>
      <c r="L119" s="41">
        <v>2</v>
      </c>
      <c r="M119" s="41">
        <v>6</v>
      </c>
      <c r="N119" s="41">
        <f t="shared" si="2"/>
        <v>2</v>
      </c>
      <c r="O119" s="42"/>
      <c r="P119" s="43"/>
    </row>
    <row r="120" spans="6:16">
      <c r="F120" s="44">
        <v>7.2</v>
      </c>
      <c r="G120" s="53" t="s">
        <v>154</v>
      </c>
      <c r="H120" s="46">
        <v>45914</v>
      </c>
      <c r="I120" s="46">
        <v>45918</v>
      </c>
      <c r="J120" s="47">
        <v>4</v>
      </c>
      <c r="K120" s="48"/>
      <c r="L120" s="49">
        <v>5</v>
      </c>
      <c r="M120" s="49">
        <v>7.1</v>
      </c>
      <c r="N120" s="49">
        <f t="shared" si="2"/>
        <v>5</v>
      </c>
      <c r="O120" s="50"/>
      <c r="P120" s="51"/>
    </row>
    <row r="121" spans="6:16">
      <c r="F121" s="36">
        <v>8</v>
      </c>
      <c r="G121" s="37" t="s">
        <v>155</v>
      </c>
      <c r="H121" s="38">
        <v>45920</v>
      </c>
      <c r="I121" s="38">
        <v>45923</v>
      </c>
      <c r="J121" s="39"/>
      <c r="K121" s="40"/>
      <c r="L121" s="41">
        <v>4</v>
      </c>
      <c r="M121" s="41">
        <v>7</v>
      </c>
      <c r="N121" s="41">
        <f t="shared" si="2"/>
        <v>4</v>
      </c>
      <c r="O121" s="42"/>
      <c r="P121" s="43"/>
    </row>
    <row r="122" spans="6:16">
      <c r="F122" s="44">
        <v>8.1</v>
      </c>
      <c r="G122" s="53" t="s">
        <v>156</v>
      </c>
      <c r="H122" s="46">
        <v>45920</v>
      </c>
      <c r="I122" s="46">
        <v>45923</v>
      </c>
      <c r="J122" s="47"/>
      <c r="K122" s="48"/>
      <c r="L122" s="49">
        <v>4</v>
      </c>
      <c r="M122" s="49">
        <v>7</v>
      </c>
      <c r="N122" s="49">
        <f t="shared" si="2"/>
        <v>4</v>
      </c>
      <c r="O122" s="50"/>
      <c r="P122" s="51"/>
    </row>
    <row r="123" spans="6:16">
      <c r="F123" s="36">
        <v>8.1999999999999993</v>
      </c>
      <c r="G123" s="52" t="s">
        <v>157</v>
      </c>
      <c r="H123" s="38">
        <v>45920</v>
      </c>
      <c r="I123" s="38">
        <v>45923</v>
      </c>
      <c r="J123" s="39"/>
      <c r="K123" s="40"/>
      <c r="L123" s="41">
        <v>4</v>
      </c>
      <c r="M123" s="41">
        <v>8.1</v>
      </c>
      <c r="N123" s="41">
        <f t="shared" si="2"/>
        <v>4</v>
      </c>
      <c r="O123" s="42"/>
      <c r="P123" s="43"/>
    </row>
    <row r="124" spans="6:16">
      <c r="F124" s="44">
        <v>9</v>
      </c>
      <c r="G124" s="45" t="s">
        <v>158</v>
      </c>
      <c r="H124" s="54">
        <v>45920</v>
      </c>
      <c r="I124" s="55">
        <v>45924</v>
      </c>
      <c r="J124" s="47"/>
      <c r="K124" s="48"/>
      <c r="L124" s="49">
        <v>5</v>
      </c>
      <c r="M124" s="49">
        <v>8</v>
      </c>
      <c r="N124" s="49">
        <f t="shared" si="2"/>
        <v>5</v>
      </c>
      <c r="O124" s="50"/>
      <c r="P124" s="51"/>
    </row>
    <row r="125" spans="6:16">
      <c r="F125" s="36">
        <v>9.1</v>
      </c>
      <c r="G125" s="52" t="s">
        <v>159</v>
      </c>
      <c r="H125" s="56">
        <v>45920</v>
      </c>
      <c r="I125" s="57">
        <v>45924</v>
      </c>
      <c r="J125" s="39"/>
      <c r="K125" s="40"/>
      <c r="L125" s="41">
        <v>5</v>
      </c>
      <c r="M125" s="41">
        <v>8</v>
      </c>
      <c r="N125" s="41">
        <f t="shared" si="2"/>
        <v>5</v>
      </c>
      <c r="O125" s="42"/>
      <c r="P125" s="43"/>
    </row>
    <row r="126" spans="6:16">
      <c r="F126" s="44">
        <v>9.1999999999999993</v>
      </c>
      <c r="G126" s="53" t="s">
        <v>160</v>
      </c>
      <c r="H126" s="58">
        <v>45920</v>
      </c>
      <c r="I126" s="59">
        <v>45924</v>
      </c>
      <c r="J126" s="47"/>
      <c r="K126" s="48"/>
      <c r="L126" s="49">
        <v>5</v>
      </c>
      <c r="M126" s="49">
        <v>9.1</v>
      </c>
      <c r="N126" s="49">
        <f t="shared" si="2"/>
        <v>5</v>
      </c>
      <c r="O126" s="50"/>
      <c r="P126" s="51"/>
    </row>
    <row r="127" spans="6:16">
      <c r="F127" s="36">
        <v>9.3000000000000007</v>
      </c>
      <c r="G127" s="52" t="s">
        <v>161</v>
      </c>
      <c r="H127" s="56">
        <v>45921</v>
      </c>
      <c r="I127" s="57">
        <v>45923</v>
      </c>
      <c r="J127" s="39"/>
      <c r="K127" s="40"/>
      <c r="L127" s="41">
        <v>3</v>
      </c>
      <c r="M127" s="41">
        <v>9.1</v>
      </c>
      <c r="N127" s="41">
        <f t="shared" si="2"/>
        <v>3</v>
      </c>
      <c r="O127" s="42"/>
      <c r="P127" s="43"/>
    </row>
    <row r="128" spans="6:16">
      <c r="F128" s="44">
        <v>9.4</v>
      </c>
      <c r="G128" s="60" t="s">
        <v>162</v>
      </c>
      <c r="H128" s="58">
        <v>45921</v>
      </c>
      <c r="I128" s="59">
        <v>45924</v>
      </c>
      <c r="J128" s="47"/>
      <c r="K128" s="48"/>
      <c r="L128" s="49">
        <v>3</v>
      </c>
      <c r="M128" s="49">
        <v>8.1</v>
      </c>
      <c r="N128" s="49">
        <f t="shared" si="2"/>
        <v>4</v>
      </c>
      <c r="O128" s="50"/>
      <c r="P128" s="51"/>
    </row>
    <row r="129" spans="6:16">
      <c r="F129" s="36">
        <v>10</v>
      </c>
      <c r="G129" s="37" t="s">
        <v>163</v>
      </c>
      <c r="H129" s="56">
        <v>45917</v>
      </c>
      <c r="I129" s="57">
        <v>45926</v>
      </c>
      <c r="J129" s="39"/>
      <c r="K129" s="40"/>
      <c r="L129" s="41">
        <v>10</v>
      </c>
      <c r="M129" s="41">
        <v>7</v>
      </c>
      <c r="N129" s="41">
        <f t="shared" si="2"/>
        <v>10</v>
      </c>
      <c r="O129" s="42"/>
      <c r="P129" s="43"/>
    </row>
    <row r="130" spans="6:16">
      <c r="F130" s="44">
        <v>10.1</v>
      </c>
      <c r="G130" s="60" t="s">
        <v>164</v>
      </c>
      <c r="H130" s="58">
        <v>45917</v>
      </c>
      <c r="I130" s="59">
        <v>45917</v>
      </c>
      <c r="J130" s="47"/>
      <c r="K130" s="48"/>
      <c r="L130" s="49">
        <v>1</v>
      </c>
      <c r="M130" s="49">
        <v>7</v>
      </c>
      <c r="N130" s="49">
        <f t="shared" si="2"/>
        <v>1</v>
      </c>
      <c r="O130" s="50"/>
      <c r="P130" s="51"/>
    </row>
    <row r="131" spans="6:16">
      <c r="F131" s="36">
        <v>10.199999999999999</v>
      </c>
      <c r="G131" s="61" t="s">
        <v>165</v>
      </c>
      <c r="H131" s="56">
        <v>45917</v>
      </c>
      <c r="I131" s="57">
        <v>45917</v>
      </c>
      <c r="J131" s="39"/>
      <c r="K131" s="40"/>
      <c r="L131" s="41">
        <v>1</v>
      </c>
      <c r="M131" s="41">
        <v>10.1</v>
      </c>
      <c r="N131" s="41">
        <f t="shared" si="2"/>
        <v>1</v>
      </c>
      <c r="O131" s="42"/>
      <c r="P131" s="43"/>
    </row>
    <row r="132" spans="6:16">
      <c r="F132" s="44">
        <v>10.3</v>
      </c>
      <c r="G132" s="60" t="s">
        <v>166</v>
      </c>
      <c r="H132" s="58">
        <v>45917</v>
      </c>
      <c r="I132" s="59">
        <v>45922</v>
      </c>
      <c r="J132" s="47"/>
      <c r="K132" s="48"/>
      <c r="L132" s="49">
        <v>6</v>
      </c>
      <c r="M132" s="49">
        <v>10.199999999999999</v>
      </c>
      <c r="N132" s="49">
        <f t="shared" si="2"/>
        <v>6</v>
      </c>
      <c r="O132" s="50"/>
      <c r="P132" s="51"/>
    </row>
    <row r="133" spans="6:16">
      <c r="F133" s="36">
        <v>10.4</v>
      </c>
      <c r="G133" s="61" t="s">
        <v>167</v>
      </c>
      <c r="H133" s="56">
        <v>45917</v>
      </c>
      <c r="I133" s="57">
        <v>45922</v>
      </c>
      <c r="J133" s="39"/>
      <c r="K133" s="40"/>
      <c r="L133" s="41">
        <v>6</v>
      </c>
      <c r="M133" s="41">
        <v>10.3</v>
      </c>
      <c r="N133" s="41">
        <f t="shared" si="2"/>
        <v>6</v>
      </c>
      <c r="O133" s="42"/>
      <c r="P133" s="43"/>
    </row>
    <row r="134" spans="6:16">
      <c r="F134" s="44">
        <v>10.5</v>
      </c>
      <c r="G134" s="60" t="s">
        <v>168</v>
      </c>
      <c r="H134" s="58">
        <v>45917</v>
      </c>
      <c r="I134" s="59">
        <v>45924</v>
      </c>
      <c r="J134" s="47"/>
      <c r="K134" s="48"/>
      <c r="L134" s="49">
        <v>8</v>
      </c>
      <c r="M134" s="49">
        <v>10.3</v>
      </c>
      <c r="N134" s="49">
        <f t="shared" si="2"/>
        <v>8</v>
      </c>
      <c r="O134" s="50"/>
      <c r="P134" s="51"/>
    </row>
    <row r="135" spans="6:16">
      <c r="F135" s="36">
        <v>11</v>
      </c>
      <c r="G135" s="37" t="s">
        <v>169</v>
      </c>
      <c r="H135" s="56">
        <v>45926</v>
      </c>
      <c r="I135" s="57">
        <v>45934</v>
      </c>
      <c r="J135" s="39"/>
      <c r="K135" s="40"/>
      <c r="L135" s="41">
        <f t="shared" ref="L135:L146" si="3">_xlfn.DAYS(I135,H135)+1</f>
        <v>9</v>
      </c>
      <c r="M135" s="41">
        <v>10</v>
      </c>
      <c r="N135" s="41">
        <f t="shared" si="2"/>
        <v>9</v>
      </c>
      <c r="O135" s="42"/>
      <c r="P135" s="43"/>
    </row>
    <row r="136" spans="6:16">
      <c r="F136" s="44">
        <v>11.1</v>
      </c>
      <c r="G136" s="60" t="s">
        <v>170</v>
      </c>
      <c r="H136" s="58">
        <v>45928</v>
      </c>
      <c r="I136" s="59">
        <v>45931</v>
      </c>
      <c r="J136" s="47"/>
      <c r="K136" s="48"/>
      <c r="L136" s="49">
        <f t="shared" si="3"/>
        <v>4</v>
      </c>
      <c r="M136" s="49">
        <v>10.4</v>
      </c>
      <c r="N136" s="49">
        <f t="shared" si="2"/>
        <v>4</v>
      </c>
      <c r="O136" s="50"/>
      <c r="P136" s="51"/>
    </row>
    <row r="137" spans="6:16">
      <c r="F137" s="36">
        <v>11.2</v>
      </c>
      <c r="G137" s="61" t="s">
        <v>171</v>
      </c>
      <c r="H137" s="56">
        <v>45926</v>
      </c>
      <c r="I137" s="57">
        <v>45928</v>
      </c>
      <c r="J137" s="39"/>
      <c r="K137" s="40"/>
      <c r="L137" s="41">
        <f t="shared" si="3"/>
        <v>3</v>
      </c>
      <c r="M137" s="41">
        <v>10.199999999999999</v>
      </c>
      <c r="N137" s="41">
        <f t="shared" si="2"/>
        <v>3</v>
      </c>
      <c r="O137" s="42"/>
      <c r="P137" s="43"/>
    </row>
    <row r="138" spans="6:16">
      <c r="F138" s="44">
        <v>11.3</v>
      </c>
      <c r="G138" s="60" t="s">
        <v>172</v>
      </c>
      <c r="H138" s="58">
        <v>45928</v>
      </c>
      <c r="I138" s="59">
        <v>45929</v>
      </c>
      <c r="J138" s="47"/>
      <c r="K138" s="48"/>
      <c r="L138" s="49">
        <f t="shared" si="3"/>
        <v>2</v>
      </c>
      <c r="M138" s="49">
        <v>10.1</v>
      </c>
      <c r="N138" s="49">
        <f t="shared" si="2"/>
        <v>2</v>
      </c>
      <c r="O138" s="50"/>
      <c r="P138" s="51"/>
    </row>
    <row r="139" spans="6:16">
      <c r="F139" s="36">
        <v>11.4</v>
      </c>
      <c r="G139" s="61" t="s">
        <v>173</v>
      </c>
      <c r="H139" s="56">
        <v>45929</v>
      </c>
      <c r="I139" s="57">
        <v>45933</v>
      </c>
      <c r="J139" s="39"/>
      <c r="K139" s="40"/>
      <c r="L139" s="41">
        <f t="shared" si="3"/>
        <v>5</v>
      </c>
      <c r="M139" s="41">
        <v>10.4</v>
      </c>
      <c r="N139" s="41">
        <f t="shared" si="2"/>
        <v>5</v>
      </c>
      <c r="O139" s="42"/>
      <c r="P139" s="43"/>
    </row>
    <row r="140" spans="6:16">
      <c r="F140" s="44">
        <v>11.5</v>
      </c>
      <c r="G140" s="60" t="s">
        <v>174</v>
      </c>
      <c r="H140" s="58">
        <v>45929</v>
      </c>
      <c r="I140" s="59">
        <v>45934</v>
      </c>
      <c r="J140" s="47"/>
      <c r="K140" s="48"/>
      <c r="L140" s="49">
        <f t="shared" si="3"/>
        <v>6</v>
      </c>
      <c r="M140" s="49">
        <v>10.199999999999999</v>
      </c>
      <c r="N140" s="49">
        <f t="shared" si="2"/>
        <v>6</v>
      </c>
      <c r="O140" s="50"/>
      <c r="P140" s="51"/>
    </row>
    <row r="141" spans="6:16">
      <c r="F141" s="36">
        <v>12</v>
      </c>
      <c r="G141" s="37" t="s">
        <v>175</v>
      </c>
      <c r="H141" s="56">
        <v>45935</v>
      </c>
      <c r="I141" s="57">
        <v>45941</v>
      </c>
      <c r="J141" s="39"/>
      <c r="K141" s="40"/>
      <c r="L141" s="41">
        <f t="shared" si="3"/>
        <v>7</v>
      </c>
      <c r="M141" s="41">
        <v>7</v>
      </c>
      <c r="N141" s="41">
        <f t="shared" si="2"/>
        <v>7</v>
      </c>
      <c r="O141" s="42"/>
      <c r="P141" s="43"/>
    </row>
    <row r="142" spans="6:16">
      <c r="F142" s="44">
        <v>12.1</v>
      </c>
      <c r="G142" s="60" t="s">
        <v>176</v>
      </c>
      <c r="H142" s="58">
        <v>45935</v>
      </c>
      <c r="I142" s="59">
        <v>45941</v>
      </c>
      <c r="J142" s="47"/>
      <c r="K142" s="48"/>
      <c r="L142" s="49">
        <f t="shared" si="3"/>
        <v>7</v>
      </c>
      <c r="M142" s="49">
        <v>7</v>
      </c>
      <c r="N142" s="49">
        <f t="shared" si="2"/>
        <v>7</v>
      </c>
      <c r="O142" s="50"/>
      <c r="P142" s="51"/>
    </row>
    <row r="143" spans="6:16">
      <c r="F143" s="36">
        <v>12.2</v>
      </c>
      <c r="G143" s="61" t="s">
        <v>177</v>
      </c>
      <c r="H143" s="56">
        <v>45935</v>
      </c>
      <c r="I143" s="57">
        <v>45938</v>
      </c>
      <c r="J143" s="39"/>
      <c r="K143" s="40"/>
      <c r="L143" s="41">
        <f t="shared" si="3"/>
        <v>4</v>
      </c>
      <c r="M143" s="41">
        <v>7</v>
      </c>
      <c r="N143" s="41">
        <f t="shared" si="2"/>
        <v>4</v>
      </c>
      <c r="O143" s="42"/>
      <c r="P143" s="43"/>
    </row>
    <row r="144" spans="6:16">
      <c r="F144" s="44">
        <v>13</v>
      </c>
      <c r="G144" s="45" t="s">
        <v>178</v>
      </c>
      <c r="H144" s="58">
        <v>45941</v>
      </c>
      <c r="I144" s="59">
        <v>45962</v>
      </c>
      <c r="J144" s="47"/>
      <c r="K144" s="48"/>
      <c r="L144" s="49">
        <f t="shared" si="3"/>
        <v>22</v>
      </c>
      <c r="M144" s="49">
        <v>12.2</v>
      </c>
      <c r="N144" s="49">
        <f t="shared" si="2"/>
        <v>22</v>
      </c>
      <c r="O144" s="50"/>
      <c r="P144" s="51"/>
    </row>
    <row r="145" spans="6:16">
      <c r="F145" s="36">
        <v>13.1</v>
      </c>
      <c r="G145" s="61" t="s">
        <v>179</v>
      </c>
      <c r="H145" s="56">
        <v>45941</v>
      </c>
      <c r="I145" s="57">
        <v>45955</v>
      </c>
      <c r="J145" s="39"/>
      <c r="K145" s="40"/>
      <c r="L145" s="41">
        <f t="shared" si="3"/>
        <v>15</v>
      </c>
      <c r="M145" s="41">
        <v>12.2</v>
      </c>
      <c r="N145" s="41">
        <f t="shared" si="2"/>
        <v>15</v>
      </c>
      <c r="O145" s="42"/>
      <c r="P145" s="43"/>
    </row>
    <row r="146" spans="6:16">
      <c r="F146" s="44">
        <v>13.2</v>
      </c>
      <c r="G146" s="60" t="s">
        <v>180</v>
      </c>
      <c r="H146" s="58">
        <v>45948</v>
      </c>
      <c r="I146" s="59">
        <v>45962</v>
      </c>
      <c r="J146" s="47"/>
      <c r="K146" s="48"/>
      <c r="L146" s="49">
        <f t="shared" si="3"/>
        <v>15</v>
      </c>
      <c r="M146" s="49">
        <v>13.1</v>
      </c>
      <c r="N146" s="49">
        <f t="shared" si="2"/>
        <v>15</v>
      </c>
      <c r="O146" s="50"/>
      <c r="P146" s="51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Revision History</vt:lpstr>
      <vt:lpstr>Function List</vt:lpstr>
      <vt:lpstr>Jumpstart Program 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Elwison   L. Denampo</cp:lastModifiedBy>
  <cp:revision/>
  <dcterms:created xsi:type="dcterms:W3CDTF">2025-08-30T01:44:14Z</dcterms:created>
  <dcterms:modified xsi:type="dcterms:W3CDTF">2025-11-12T18:28:26Z</dcterms:modified>
  <cp:category/>
  <cp:contentStatus/>
</cp:coreProperties>
</file>